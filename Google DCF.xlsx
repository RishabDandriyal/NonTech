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shabdandriyal/Desktop/"/>
    </mc:Choice>
  </mc:AlternateContent>
  <xr:revisionPtr revIDLastSave="0" documentId="13_ncr:1_{33657A75-F6C3-8B4C-8856-96B746C56803}" xr6:coauthVersionLast="47" xr6:coauthVersionMax="47" xr10:uidLastSave="{00000000-0000-0000-0000-000000000000}"/>
  <bookViews>
    <workbookView xWindow="0" yWindow="500" windowWidth="28800" windowHeight="15740" xr2:uid="{FE08CCCB-13CB-9042-8D40-6BEDAB432784}"/>
  </bookViews>
  <sheets>
    <sheet name="Sheet1" sheetId="1" r:id="rId1"/>
  </sheets>
  <definedNames>
    <definedName name="tgr">Sheet1!$D$21</definedName>
    <definedName name="wacc">Sheet1!$D$20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3" i="1" l="1"/>
  <c r="N73" i="1"/>
  <c r="O73" i="1"/>
  <c r="P73" i="1"/>
  <c r="Q73" i="1"/>
  <c r="R73" i="1"/>
  <c r="S73" i="1"/>
  <c r="T73" i="1"/>
  <c r="U73" i="1"/>
  <c r="L73" i="1"/>
  <c r="D21" i="1"/>
  <c r="D20" i="1"/>
  <c r="L9" i="1"/>
  <c r="T79" i="1"/>
  <c r="U79" i="1" s="1"/>
  <c r="M79" i="1"/>
  <c r="N79" i="1" s="1"/>
  <c r="L79" i="1"/>
  <c r="F79" i="1"/>
  <c r="G79" i="1"/>
  <c r="H79" i="1"/>
  <c r="I79" i="1"/>
  <c r="J79" i="1"/>
  <c r="K79" i="1"/>
  <c r="E79" i="1"/>
  <c r="F78" i="1"/>
  <c r="G78" i="1"/>
  <c r="H78" i="1"/>
  <c r="I78" i="1"/>
  <c r="J78" i="1"/>
  <c r="K78" i="1"/>
  <c r="E78" i="1"/>
  <c r="P76" i="1"/>
  <c r="Q76" i="1" s="1"/>
  <c r="R76" i="1" s="1"/>
  <c r="S76" i="1" s="1"/>
  <c r="T76" i="1" s="1"/>
  <c r="O76" i="1"/>
  <c r="N76" i="1"/>
  <c r="U74" i="1"/>
  <c r="F73" i="1"/>
  <c r="G73" i="1"/>
  <c r="H73" i="1"/>
  <c r="I73" i="1"/>
  <c r="F72" i="1"/>
  <c r="G72" i="1"/>
  <c r="H72" i="1"/>
  <c r="I72" i="1"/>
  <c r="J72" i="1"/>
  <c r="J73" i="1" s="1"/>
  <c r="K72" i="1"/>
  <c r="K73" i="1" s="1"/>
  <c r="E72" i="1"/>
  <c r="E73" i="1" s="1"/>
  <c r="L35" i="1"/>
  <c r="M35" i="1"/>
  <c r="N35" i="1"/>
  <c r="O35" i="1"/>
  <c r="P35" i="1"/>
  <c r="Q35" i="1"/>
  <c r="L39" i="1"/>
  <c r="L75" i="1" s="1"/>
  <c r="M39" i="1"/>
  <c r="M75" i="1" s="1"/>
  <c r="N39" i="1"/>
  <c r="N75" i="1" s="1"/>
  <c r="O39" i="1"/>
  <c r="P39" i="1"/>
  <c r="Q39" i="1"/>
  <c r="F66" i="1"/>
  <c r="F67" i="1" s="1"/>
  <c r="G66" i="1"/>
  <c r="G67" i="1" s="1"/>
  <c r="H66" i="1"/>
  <c r="H67" i="1" s="1"/>
  <c r="I66" i="1"/>
  <c r="I67" i="1" s="1"/>
  <c r="J66" i="1"/>
  <c r="J67" i="1" s="1"/>
  <c r="K66" i="1"/>
  <c r="K67" i="1" s="1"/>
  <c r="E66" i="1"/>
  <c r="E67" i="1" s="1"/>
  <c r="N62" i="1"/>
  <c r="O62" i="1" s="1"/>
  <c r="P62" i="1" s="1"/>
  <c r="Q62" i="1" s="1"/>
  <c r="R62" i="1" s="1"/>
  <c r="S62" i="1" s="1"/>
  <c r="T62" i="1" s="1"/>
  <c r="U62" i="1" s="1"/>
  <c r="N60" i="1"/>
  <c r="O60" i="1" s="1"/>
  <c r="O59" i="1" s="1"/>
  <c r="F58" i="1"/>
  <c r="G58" i="1"/>
  <c r="H58" i="1"/>
  <c r="I58" i="1"/>
  <c r="J58" i="1"/>
  <c r="K58" i="1"/>
  <c r="E58" i="1"/>
  <c r="F52" i="1"/>
  <c r="F53" i="1" s="1"/>
  <c r="G52" i="1"/>
  <c r="G53" i="1" s="1"/>
  <c r="H52" i="1"/>
  <c r="H53" i="1" s="1"/>
  <c r="I52" i="1"/>
  <c r="I53" i="1" s="1"/>
  <c r="J52" i="1"/>
  <c r="J53" i="1" s="1"/>
  <c r="K52" i="1"/>
  <c r="K53" i="1" s="1"/>
  <c r="E52" i="1"/>
  <c r="E53" i="1" s="1"/>
  <c r="U50" i="1"/>
  <c r="U48" i="1"/>
  <c r="K47" i="1"/>
  <c r="J47" i="1"/>
  <c r="I47" i="1"/>
  <c r="H47" i="1"/>
  <c r="G47" i="1"/>
  <c r="F47" i="1"/>
  <c r="G43" i="1"/>
  <c r="H43" i="1"/>
  <c r="I43" i="1"/>
  <c r="J43" i="1"/>
  <c r="K43" i="1"/>
  <c r="F43" i="1"/>
  <c r="F42" i="1"/>
  <c r="G42" i="1"/>
  <c r="H42" i="1"/>
  <c r="I42" i="1"/>
  <c r="J42" i="1"/>
  <c r="K42" i="1"/>
  <c r="E42" i="1"/>
  <c r="F39" i="1"/>
  <c r="G39" i="1"/>
  <c r="H39" i="1"/>
  <c r="I39" i="1"/>
  <c r="J39" i="1"/>
  <c r="K39" i="1"/>
  <c r="E39" i="1"/>
  <c r="F36" i="1"/>
  <c r="G36" i="1"/>
  <c r="H36" i="1"/>
  <c r="I36" i="1"/>
  <c r="J36" i="1"/>
  <c r="K36" i="1"/>
  <c r="E36" i="1"/>
  <c r="F35" i="1"/>
  <c r="G35" i="1"/>
  <c r="H35" i="1"/>
  <c r="I35" i="1"/>
  <c r="J35" i="1"/>
  <c r="K35" i="1"/>
  <c r="E35" i="1"/>
  <c r="N28" i="1"/>
  <c r="N55" i="1" s="1"/>
  <c r="O28" i="1"/>
  <c r="P28" i="1"/>
  <c r="Q28" i="1"/>
  <c r="L28" i="1"/>
  <c r="L55" i="1" s="1"/>
  <c r="M28" i="1"/>
  <c r="M55" i="1" s="1"/>
  <c r="F31" i="1"/>
  <c r="G31" i="1"/>
  <c r="H31" i="1"/>
  <c r="I31" i="1"/>
  <c r="J31" i="1"/>
  <c r="K31" i="1"/>
  <c r="E31" i="1"/>
  <c r="F28" i="1"/>
  <c r="G28" i="1"/>
  <c r="H28" i="1"/>
  <c r="I28" i="1"/>
  <c r="J28" i="1"/>
  <c r="K28" i="1"/>
  <c r="E28" i="1"/>
  <c r="G25" i="1"/>
  <c r="H25" i="1"/>
  <c r="I25" i="1"/>
  <c r="J25" i="1"/>
  <c r="K25" i="1"/>
  <c r="L25" i="1"/>
  <c r="L49" i="1" s="1"/>
  <c r="M25" i="1"/>
  <c r="M49" i="1" s="1"/>
  <c r="N25" i="1"/>
  <c r="N49" i="1" s="1"/>
  <c r="O49" i="1" s="1"/>
  <c r="P49" i="1" s="1"/>
  <c r="Q49" i="1" s="1"/>
  <c r="R49" i="1" s="1"/>
  <c r="S49" i="1" s="1"/>
  <c r="T49" i="1" s="1"/>
  <c r="O25" i="1"/>
  <c r="P25" i="1"/>
  <c r="Q25" i="1"/>
  <c r="F25" i="1"/>
  <c r="O79" i="1" l="1"/>
  <c r="N74" i="1"/>
  <c r="O74" i="1" s="1"/>
  <c r="P74" i="1" s="1"/>
  <c r="Q74" i="1" s="1"/>
  <c r="R74" i="1" s="1"/>
  <c r="S74" i="1" s="1"/>
  <c r="T74" i="1" s="1"/>
  <c r="O75" i="1"/>
  <c r="P75" i="1" s="1"/>
  <c r="Q75" i="1" s="1"/>
  <c r="R75" i="1" s="1"/>
  <c r="S75" i="1" s="1"/>
  <c r="T75" i="1" s="1"/>
  <c r="M76" i="1"/>
  <c r="M74" i="1"/>
  <c r="L74" i="1"/>
  <c r="L76" i="1"/>
  <c r="N59" i="1"/>
  <c r="L69" i="1"/>
  <c r="P11" i="1"/>
  <c r="L56" i="1" s="1"/>
  <c r="L53" i="1"/>
  <c r="E59" i="1"/>
  <c r="K59" i="1"/>
  <c r="H11" i="1"/>
  <c r="L54" i="1" s="1"/>
  <c r="M54" i="1" s="1"/>
  <c r="J59" i="1"/>
  <c r="N53" i="1"/>
  <c r="F59" i="1"/>
  <c r="I59" i="1"/>
  <c r="M56" i="1"/>
  <c r="M53" i="1"/>
  <c r="G59" i="1"/>
  <c r="H59" i="1"/>
  <c r="O55" i="1"/>
  <c r="H9" i="1"/>
  <c r="L48" i="1" s="1"/>
  <c r="M48" i="1" s="1"/>
  <c r="N48" i="1" s="1"/>
  <c r="O48" i="1" s="1"/>
  <c r="P48" i="1" s="1"/>
  <c r="Q48" i="1" s="1"/>
  <c r="R48" i="1" s="1"/>
  <c r="S48" i="1" s="1"/>
  <c r="T48" i="1" s="1"/>
  <c r="P9" i="1"/>
  <c r="L50" i="1" s="1"/>
  <c r="M50" i="1" s="1"/>
  <c r="N50" i="1" s="1"/>
  <c r="O50" i="1" s="1"/>
  <c r="P50" i="1" s="1"/>
  <c r="Q50" i="1" s="1"/>
  <c r="R50" i="1" s="1"/>
  <c r="S50" i="1" s="1"/>
  <c r="T50" i="1" s="1"/>
  <c r="L47" i="1"/>
  <c r="L46" i="1" s="1"/>
  <c r="L78" i="1" s="1"/>
  <c r="R47" i="1"/>
  <c r="O47" i="1"/>
  <c r="S47" i="1"/>
  <c r="T47" i="1"/>
  <c r="P47" i="1"/>
  <c r="U47" i="1"/>
  <c r="N47" i="1"/>
  <c r="Q47" i="1"/>
  <c r="M47" i="1"/>
  <c r="P79" i="1" l="1"/>
  <c r="Q79" i="1" s="1"/>
  <c r="L52" i="1"/>
  <c r="L61" i="1"/>
  <c r="L60" i="1" s="1"/>
  <c r="L59" i="1" s="1"/>
  <c r="H13" i="1"/>
  <c r="L68" i="1" s="1"/>
  <c r="M69" i="1"/>
  <c r="N69" i="1" s="1"/>
  <c r="O69" i="1" s="1"/>
  <c r="P69" i="1" s="1"/>
  <c r="Q69" i="1" s="1"/>
  <c r="R69" i="1" s="1"/>
  <c r="S69" i="1" s="1"/>
  <c r="T69" i="1" s="1"/>
  <c r="L62" i="1"/>
  <c r="M61" i="1"/>
  <c r="N61" i="1" s="1"/>
  <c r="O61" i="1" s="1"/>
  <c r="P61" i="1" s="1"/>
  <c r="Q61" i="1" s="1"/>
  <c r="R61" i="1" s="1"/>
  <c r="S61" i="1" s="1"/>
  <c r="T61" i="1" s="1"/>
  <c r="U61" i="1" s="1"/>
  <c r="O53" i="1"/>
  <c r="O54" i="1"/>
  <c r="P55" i="1"/>
  <c r="M46" i="1"/>
  <c r="M78" i="1" s="1"/>
  <c r="R79" i="1" l="1"/>
  <c r="S79" i="1" s="1"/>
  <c r="M68" i="1"/>
  <c r="L67" i="1"/>
  <c r="L66" i="1" s="1"/>
  <c r="L72" i="1"/>
  <c r="L58" i="1"/>
  <c r="L64" i="1" s="1"/>
  <c r="P60" i="1"/>
  <c r="P59" i="1" s="1"/>
  <c r="U69" i="1"/>
  <c r="P13" i="1"/>
  <c r="L70" i="1" s="1"/>
  <c r="M70" i="1" s="1"/>
  <c r="N70" i="1" s="1"/>
  <c r="O70" i="1" s="1"/>
  <c r="P70" i="1" s="1"/>
  <c r="Q70" i="1" s="1"/>
  <c r="R70" i="1" s="1"/>
  <c r="S70" i="1" s="1"/>
  <c r="T70" i="1" s="1"/>
  <c r="U70" i="1" s="1"/>
  <c r="M62" i="1"/>
  <c r="M60" i="1"/>
  <c r="M59" i="1" s="1"/>
  <c r="P54" i="1"/>
  <c r="P53" i="1"/>
  <c r="N46" i="1"/>
  <c r="N78" i="1" s="1"/>
  <c r="M52" i="1"/>
  <c r="Q55" i="1"/>
  <c r="L81" i="1" l="1"/>
  <c r="L82" i="1" s="1"/>
  <c r="Q60" i="1"/>
  <c r="N68" i="1"/>
  <c r="M67" i="1"/>
  <c r="M66" i="1" s="1"/>
  <c r="M72" i="1"/>
  <c r="Q53" i="1"/>
  <c r="Q54" i="1"/>
  <c r="O46" i="1"/>
  <c r="O78" i="1" s="1"/>
  <c r="N52" i="1"/>
  <c r="R55" i="1"/>
  <c r="R60" i="1" l="1"/>
  <c r="Q59" i="1"/>
  <c r="O68" i="1"/>
  <c r="N67" i="1"/>
  <c r="N66" i="1" s="1"/>
  <c r="N72" i="1"/>
  <c r="N58" i="1"/>
  <c r="R53" i="1"/>
  <c r="R54" i="1"/>
  <c r="P46" i="1"/>
  <c r="P78" i="1" s="1"/>
  <c r="O52" i="1"/>
  <c r="S55" i="1"/>
  <c r="N64" i="1" l="1"/>
  <c r="N81" i="1" s="1"/>
  <c r="N82" i="1" s="1"/>
  <c r="P68" i="1"/>
  <c r="O67" i="1"/>
  <c r="O66" i="1" s="1"/>
  <c r="O72" i="1"/>
  <c r="S60" i="1"/>
  <c r="R59" i="1"/>
  <c r="S53" i="1"/>
  <c r="S54" i="1"/>
  <c r="Q46" i="1"/>
  <c r="Q78" i="1" s="1"/>
  <c r="P52" i="1"/>
  <c r="T55" i="1"/>
  <c r="T60" i="1" l="1"/>
  <c r="S59" i="1"/>
  <c r="Q68" i="1"/>
  <c r="P72" i="1"/>
  <c r="P67" i="1"/>
  <c r="P66" i="1" s="1"/>
  <c r="T53" i="1"/>
  <c r="T54" i="1"/>
  <c r="R46" i="1"/>
  <c r="R78" i="1" s="1"/>
  <c r="Q52" i="1"/>
  <c r="U55" i="1"/>
  <c r="R68" i="1" l="1"/>
  <c r="Q72" i="1"/>
  <c r="Q67" i="1"/>
  <c r="Q66" i="1" s="1"/>
  <c r="U60" i="1"/>
  <c r="U59" i="1" s="1"/>
  <c r="T59" i="1"/>
  <c r="U53" i="1"/>
  <c r="U54" i="1"/>
  <c r="S46" i="1"/>
  <c r="S78" i="1" s="1"/>
  <c r="R52" i="1"/>
  <c r="S68" i="1" l="1"/>
  <c r="R72" i="1"/>
  <c r="R67" i="1"/>
  <c r="R66" i="1" s="1"/>
  <c r="T46" i="1"/>
  <c r="T78" i="1" s="1"/>
  <c r="S52" i="1"/>
  <c r="T68" i="1" l="1"/>
  <c r="S67" i="1"/>
  <c r="S66" i="1" s="1"/>
  <c r="S72" i="1"/>
  <c r="U46" i="1"/>
  <c r="U78" i="1" s="1"/>
  <c r="T52" i="1"/>
  <c r="R58" i="1"/>
  <c r="Q58" i="1"/>
  <c r="P58" i="1"/>
  <c r="O58" i="1"/>
  <c r="S58" i="1"/>
  <c r="M58" i="1"/>
  <c r="P64" i="1" l="1"/>
  <c r="P81" i="1" s="1"/>
  <c r="P82" i="1" s="1"/>
  <c r="M64" i="1"/>
  <c r="M81" i="1" s="1"/>
  <c r="M82" i="1" s="1"/>
  <c r="Q64" i="1"/>
  <c r="Q81" i="1" s="1"/>
  <c r="Q82" i="1" s="1"/>
  <c r="R64" i="1"/>
  <c r="R81" i="1" s="1"/>
  <c r="R82" i="1" s="1"/>
  <c r="S64" i="1"/>
  <c r="S81" i="1" s="1"/>
  <c r="S82" i="1" s="1"/>
  <c r="O64" i="1"/>
  <c r="O81" i="1" s="1"/>
  <c r="O82" i="1" s="1"/>
  <c r="U68" i="1"/>
  <c r="T67" i="1"/>
  <c r="T66" i="1" s="1"/>
  <c r="T72" i="1"/>
  <c r="T58" i="1"/>
  <c r="T64" i="1" s="1"/>
  <c r="U52" i="1"/>
  <c r="T81" i="1" l="1"/>
  <c r="T82" i="1" s="1"/>
  <c r="U72" i="1"/>
  <c r="U67" i="1"/>
  <c r="U66" i="1" s="1"/>
  <c r="U58" i="1"/>
  <c r="U64" i="1" s="1"/>
  <c r="U81" i="1" l="1"/>
  <c r="U82" i="1" l="1"/>
  <c r="U83" i="1"/>
  <c r="U84" i="1" s="1"/>
  <c r="U85" i="1" l="1"/>
  <c r="U88" i="1" s="1"/>
  <c r="U90" i="1" s="1"/>
  <c r="F4" i="1" s="1"/>
</calcChain>
</file>

<file path=xl/sharedStrings.xml><?xml version="1.0" encoding="utf-8"?>
<sst xmlns="http://schemas.openxmlformats.org/spreadsheetml/2006/main" count="102" uniqueCount="54">
  <si>
    <t>GOOGLE DCF</t>
  </si>
  <si>
    <t>x</t>
  </si>
  <si>
    <t>Ticker</t>
  </si>
  <si>
    <t>Date</t>
  </si>
  <si>
    <t>GOOGL</t>
  </si>
  <si>
    <t>Assumptions</t>
  </si>
  <si>
    <t xml:space="preserve">x </t>
  </si>
  <si>
    <t>Income Statement</t>
  </si>
  <si>
    <t>Revenue</t>
  </si>
  <si>
    <t>EBIT</t>
  </si>
  <si>
    <t>% of Revenue</t>
  </si>
  <si>
    <t xml:space="preserve">% Growth </t>
  </si>
  <si>
    <t>% of EBIT</t>
  </si>
  <si>
    <t>% of Sales</t>
  </si>
  <si>
    <t>Taxes</t>
  </si>
  <si>
    <t>% of revenue</t>
  </si>
  <si>
    <t>% of change in revenue</t>
  </si>
  <si>
    <t>Cash Flow Items</t>
  </si>
  <si>
    <t>Depreciation and amortization</t>
  </si>
  <si>
    <t>% of CapEx</t>
  </si>
  <si>
    <t>Capital Expenditure</t>
  </si>
  <si>
    <t>Change in NWC</t>
  </si>
  <si>
    <t>DCF</t>
  </si>
  <si>
    <t>%growth</t>
  </si>
  <si>
    <t>Conservative Case</t>
  </si>
  <si>
    <t>Base Case - street estimates</t>
  </si>
  <si>
    <t>Optimistic case</t>
  </si>
  <si>
    <t>Switches</t>
  </si>
  <si>
    <t>Revenue Growth</t>
  </si>
  <si>
    <t>EBIT Margins</t>
  </si>
  <si>
    <t>WACC</t>
  </si>
  <si>
    <t>TGR</t>
  </si>
  <si>
    <t>Base Case</t>
  </si>
  <si>
    <t>Optimistic Case</t>
  </si>
  <si>
    <t>Valuation Assumptions</t>
  </si>
  <si>
    <t>Revenue 2031</t>
  </si>
  <si>
    <t>Revenue 2022</t>
  </si>
  <si>
    <t>% of sales</t>
  </si>
  <si>
    <t>EBIT 2022</t>
  </si>
  <si>
    <t>EBIAT</t>
  </si>
  <si>
    <t>D&amp;A</t>
  </si>
  <si>
    <t>CapEx</t>
  </si>
  <si>
    <t>CapEx 2031</t>
  </si>
  <si>
    <t>Unlevered Free Cash Flow</t>
  </si>
  <si>
    <t>Present Value of Free Cash Flow</t>
  </si>
  <si>
    <t>Terminal Value</t>
  </si>
  <si>
    <t>Present value of Terminal Value</t>
  </si>
  <si>
    <t>Enterprise Value</t>
  </si>
  <si>
    <t>(+) Cash</t>
  </si>
  <si>
    <t>(-) Debt</t>
  </si>
  <si>
    <t>Equity Value</t>
  </si>
  <si>
    <t>Shares</t>
  </si>
  <si>
    <t>Share Price</t>
  </si>
  <si>
    <t>Current Share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</si>
</sst>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8"/>
      <color theme="1"/>
      <name val="Calibri (Body)"/>
    </font>
    <font>
      <sz val="12"/>
      <color theme="9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theme="1"/>
      <name val="Calibri (Body)"/>
    </font>
    <font>
      <b/>
      <sz val="12"/>
      <color theme="1"/>
      <name val="Calibri (Body)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4" fillId="0" borderId="1" xfId="0" applyFont="1" applyBorder="1"/>
    <xf numFmtId="0" fontId="0" fillId="0" borderId="1" xfId="0" applyBorder="1"/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9" fontId="0" fillId="0" borderId="0" xfId="1" applyFont="1" applyBorder="1"/>
    <xf numFmtId="0" fontId="0" fillId="0" borderId="0" xfId="0" applyBorder="1" applyAlignment="1"/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2" fontId="0" fillId="0" borderId="0" xfId="0" applyNumberFormat="1"/>
    <xf numFmtId="9" fontId="0" fillId="0" borderId="0" xfId="1" applyFont="1" applyAlignment="1">
      <alignment horizontal="center"/>
    </xf>
    <xf numFmtId="9" fontId="6" fillId="0" borderId="0" xfId="1" applyFont="1" applyAlignment="1">
      <alignment horizontal="center"/>
    </xf>
    <xf numFmtId="0" fontId="3" fillId="3" borderId="0" xfId="0" applyFont="1" applyFill="1" applyBorder="1" applyAlignment="1">
      <alignment horizontal="center"/>
    </xf>
    <xf numFmtId="9" fontId="6" fillId="0" borderId="0" xfId="1" applyFont="1" applyAlignment="1">
      <alignment horizontal="center"/>
    </xf>
    <xf numFmtId="39" fontId="0" fillId="0" borderId="0" xfId="0" applyNumberFormat="1" applyBorder="1" applyAlignment="1">
      <alignment horizontal="center"/>
    </xf>
    <xf numFmtId="9" fontId="6" fillId="0" borderId="0" xfId="1" applyFont="1" applyBorder="1" applyAlignment="1">
      <alignment horizontal="center"/>
    </xf>
    <xf numFmtId="9" fontId="0" fillId="0" borderId="0" xfId="1" applyFont="1" applyBorder="1" applyAlignment="1">
      <alignment horizontal="center"/>
    </xf>
    <xf numFmtId="39" fontId="5" fillId="0" borderId="0" xfId="0" applyNumberFormat="1" applyFont="1" applyBorder="1" applyAlignment="1">
      <alignment horizontal="center"/>
    </xf>
    <xf numFmtId="39" fontId="7" fillId="0" borderId="0" xfId="0" applyNumberFormat="1" applyFont="1" applyBorder="1" applyAlignment="1">
      <alignment horizontal="center"/>
    </xf>
    <xf numFmtId="0" fontId="0" fillId="0" borderId="0" xfId="0" applyFill="1"/>
    <xf numFmtId="0" fontId="8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1" fontId="0" fillId="2" borderId="0" xfId="0" applyNumberFormat="1" applyFill="1" applyAlignment="1">
      <alignment horizontal="center"/>
    </xf>
    <xf numFmtId="168" fontId="6" fillId="0" borderId="0" xfId="1" applyNumberFormat="1" applyFont="1" applyBorder="1" applyAlignment="1">
      <alignment horizontal="center"/>
    </xf>
    <xf numFmtId="168" fontId="0" fillId="2" borderId="2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/>
    </xf>
    <xf numFmtId="0" fontId="0" fillId="4" borderId="0" xfId="0" applyFill="1"/>
    <xf numFmtId="0" fontId="2" fillId="4" borderId="0" xfId="0" applyFont="1" applyFill="1" applyAlignment="1">
      <alignment horizontal="center"/>
    </xf>
    <xf numFmtId="39" fontId="0" fillId="4" borderId="0" xfId="0" applyNumberFormat="1" applyFill="1"/>
    <xf numFmtId="2" fontId="0" fillId="0" borderId="0" xfId="0" applyNumberFormat="1" applyFill="1" applyBorder="1" applyAlignment="1">
      <alignment horizontal="center"/>
    </xf>
    <xf numFmtId="168" fontId="0" fillId="2" borderId="0" xfId="1" applyNumberFormat="1" applyFont="1" applyFill="1" applyAlignment="1">
      <alignment horizontal="center"/>
    </xf>
    <xf numFmtId="168" fontId="0" fillId="2" borderId="0" xfId="0" applyNumberFormat="1" applyFill="1" applyAlignment="1">
      <alignment horizontal="center"/>
    </xf>
    <xf numFmtId="2" fontId="0" fillId="0" borderId="0" xfId="0" applyNumberFormat="1" applyFill="1" applyAlignment="1">
      <alignment horizontal="center"/>
    </xf>
    <xf numFmtId="0" fontId="10" fillId="0" borderId="0" xfId="0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24F5-7D2D-1C41-AD7D-986784B717F4}">
  <dimension ref="A2:U90"/>
  <sheetViews>
    <sheetView tabSelected="1" zoomScale="108" zoomScaleNormal="212" workbookViewId="0">
      <selection activeCell="H3" sqref="H3"/>
    </sheetView>
  </sheetViews>
  <sheetFormatPr baseColWidth="10" defaultRowHeight="16" x14ac:dyDescent="0.2"/>
  <cols>
    <col min="1" max="1" width="22.1640625" customWidth="1"/>
    <col min="5" max="5" width="16.83203125" customWidth="1"/>
    <col min="6" max="6" width="18.1640625" customWidth="1"/>
    <col min="7" max="7" width="17.33203125" customWidth="1"/>
    <col min="8" max="8" width="16.5" bestFit="1" customWidth="1"/>
    <col min="9" max="11" width="16.1640625" bestFit="1" customWidth="1"/>
    <col min="12" max="15" width="16.5" bestFit="1" customWidth="1"/>
    <col min="16" max="16" width="21.33203125" customWidth="1"/>
    <col min="17" max="17" width="24.33203125" customWidth="1"/>
    <col min="18" max="18" width="20.5" customWidth="1"/>
    <col min="19" max="19" width="23.5" customWidth="1"/>
    <col min="20" max="20" width="20.5" customWidth="1"/>
    <col min="21" max="21" width="27.1640625" customWidth="1"/>
  </cols>
  <sheetData>
    <row r="2" spans="1:17" s="2" customFormat="1" ht="24" x14ac:dyDescent="0.3">
      <c r="A2" s="1" t="s">
        <v>0</v>
      </c>
    </row>
    <row r="4" spans="1:17" x14ac:dyDescent="0.2">
      <c r="A4" t="s">
        <v>1</v>
      </c>
      <c r="B4" t="s">
        <v>2</v>
      </c>
      <c r="C4" s="4" t="s">
        <v>4</v>
      </c>
      <c r="E4" t="s">
        <v>52</v>
      </c>
      <c r="F4" s="15">
        <f ca="1">U90</f>
        <v>128.07796613980858</v>
      </c>
    </row>
    <row r="5" spans="1:17" x14ac:dyDescent="0.2">
      <c r="B5" t="s">
        <v>3</v>
      </c>
      <c r="C5" s="3">
        <v>45267</v>
      </c>
      <c r="E5" t="s">
        <v>53</v>
      </c>
      <c r="F5" s="15">
        <v>125.7</v>
      </c>
    </row>
    <row r="7" spans="1:17" x14ac:dyDescent="0.2">
      <c r="A7" t="s">
        <v>6</v>
      </c>
      <c r="B7" s="8" t="s">
        <v>5</v>
      </c>
      <c r="C7" s="8"/>
      <c r="D7" s="8"/>
      <c r="E7" s="18"/>
      <c r="F7" s="18"/>
      <c r="G7" s="18"/>
      <c r="H7" s="18"/>
      <c r="I7" s="9"/>
      <c r="J7" s="9"/>
      <c r="K7" s="9"/>
      <c r="L7" s="9"/>
      <c r="M7" s="9"/>
      <c r="N7" s="9"/>
      <c r="O7" s="9"/>
      <c r="P7" s="9"/>
      <c r="Q7" s="9"/>
    </row>
    <row r="8" spans="1:17" s="25" customFormat="1" x14ac:dyDescent="0.2">
      <c r="B8" s="27" t="s">
        <v>27</v>
      </c>
      <c r="C8" s="26"/>
      <c r="D8" s="26"/>
      <c r="E8" s="26"/>
      <c r="F8" s="27" t="s">
        <v>24</v>
      </c>
      <c r="G8" s="26"/>
      <c r="H8" s="26"/>
      <c r="I8" s="26"/>
      <c r="J8" s="27" t="s">
        <v>32</v>
      </c>
      <c r="K8" s="26"/>
      <c r="L8" s="26"/>
      <c r="M8" s="26"/>
      <c r="N8" s="27" t="s">
        <v>33</v>
      </c>
      <c r="O8" s="26"/>
      <c r="P8" s="26"/>
      <c r="Q8" s="26"/>
    </row>
    <row r="9" spans="1:17" s="25" customFormat="1" x14ac:dyDescent="0.2">
      <c r="B9" s="28" t="s">
        <v>28</v>
      </c>
      <c r="C9" s="26"/>
      <c r="D9" s="29">
        <v>2</v>
      </c>
      <c r="E9" s="26"/>
      <c r="F9" s="28" t="s">
        <v>36</v>
      </c>
      <c r="G9" s="26"/>
      <c r="H9" s="37">
        <f>L25-0.01</f>
        <v>0.15063298361648364</v>
      </c>
      <c r="I9" s="26"/>
      <c r="J9" s="28" t="s">
        <v>36</v>
      </c>
      <c r="K9" s="26"/>
      <c r="L9" s="37">
        <f>L25</f>
        <v>0.16063298361648365</v>
      </c>
      <c r="M9" s="26"/>
      <c r="N9" s="28" t="s">
        <v>36</v>
      </c>
      <c r="O9" s="26"/>
      <c r="P9" s="37">
        <f>L25+0.01</f>
        <v>0.17063298361648366</v>
      </c>
      <c r="Q9" s="26"/>
    </row>
    <row r="10" spans="1:17" s="25" customFormat="1" x14ac:dyDescent="0.2">
      <c r="B10" s="28" t="s">
        <v>29</v>
      </c>
      <c r="C10" s="26"/>
      <c r="D10" s="29">
        <v>2</v>
      </c>
      <c r="E10" s="26"/>
      <c r="F10" s="28" t="s">
        <v>35</v>
      </c>
      <c r="G10" s="26"/>
      <c r="H10" s="37">
        <v>0.03</v>
      </c>
      <c r="I10" s="26"/>
      <c r="J10" s="28" t="s">
        <v>35</v>
      </c>
      <c r="K10" s="26"/>
      <c r="L10" s="37">
        <v>0.05</v>
      </c>
      <c r="M10" s="26"/>
      <c r="N10" s="28" t="s">
        <v>35</v>
      </c>
      <c r="O10" s="26"/>
      <c r="P10" s="37">
        <v>7.0000000000000007E-2</v>
      </c>
      <c r="Q10" s="26"/>
    </row>
    <row r="11" spans="1:17" s="25" customFormat="1" x14ac:dyDescent="0.2">
      <c r="B11" s="28" t="s">
        <v>14</v>
      </c>
      <c r="C11" s="26"/>
      <c r="D11" s="29">
        <v>2</v>
      </c>
      <c r="E11" s="26"/>
      <c r="F11" s="28" t="s">
        <v>38</v>
      </c>
      <c r="G11" s="26"/>
      <c r="H11" s="37">
        <f>L55-1%</f>
        <v>0.27997197530616474</v>
      </c>
      <c r="I11" s="26"/>
      <c r="J11" s="28"/>
      <c r="K11" s="26"/>
      <c r="L11" s="38"/>
      <c r="M11" s="26"/>
      <c r="N11" s="28" t="s">
        <v>38</v>
      </c>
      <c r="O11" s="26"/>
      <c r="P11" s="37">
        <f>L55+1%</f>
        <v>0.29997197530616476</v>
      </c>
      <c r="Q11" s="26"/>
    </row>
    <row r="12" spans="1:17" s="25" customFormat="1" x14ac:dyDescent="0.2">
      <c r="B12" s="28" t="s">
        <v>40</v>
      </c>
      <c r="D12" s="29">
        <v>2</v>
      </c>
      <c r="E12" s="26"/>
      <c r="F12" s="28" t="s">
        <v>14</v>
      </c>
      <c r="G12" s="26"/>
      <c r="H12" s="37">
        <v>0.25</v>
      </c>
      <c r="I12" s="26"/>
      <c r="J12" s="28" t="s">
        <v>42</v>
      </c>
      <c r="K12" s="26"/>
      <c r="L12" s="37">
        <v>7.0000000000000007E-2</v>
      </c>
      <c r="M12" s="26"/>
      <c r="N12" s="28" t="s">
        <v>14</v>
      </c>
      <c r="O12" s="26"/>
      <c r="P12" s="37">
        <v>0.17</v>
      </c>
      <c r="Q12" s="26"/>
    </row>
    <row r="13" spans="1:17" s="25" customFormat="1" x14ac:dyDescent="0.2">
      <c r="B13" s="28" t="s">
        <v>41</v>
      </c>
      <c r="D13" s="29">
        <v>2</v>
      </c>
      <c r="E13" s="26"/>
      <c r="F13" s="28" t="s">
        <v>40</v>
      </c>
      <c r="H13" s="37">
        <f>L69-0.5%</f>
        <v>5.0929955190381598E-2</v>
      </c>
      <c r="I13" s="26"/>
      <c r="J13" s="28" t="s">
        <v>30</v>
      </c>
      <c r="K13" s="26"/>
      <c r="L13" s="37">
        <v>0.08</v>
      </c>
      <c r="M13" s="26"/>
      <c r="N13" s="28" t="s">
        <v>40</v>
      </c>
      <c r="P13" s="37">
        <f>T69+0.5%</f>
        <v>6.0929955190381593E-2</v>
      </c>
      <c r="Q13" s="26"/>
    </row>
    <row r="14" spans="1:17" s="25" customFormat="1" x14ac:dyDescent="0.2">
      <c r="B14" s="28"/>
      <c r="D14" s="29"/>
      <c r="E14" s="26"/>
      <c r="F14" s="28" t="s">
        <v>42</v>
      </c>
      <c r="H14" s="37">
        <v>0.09</v>
      </c>
      <c r="I14" s="26"/>
      <c r="J14" s="28" t="s">
        <v>31</v>
      </c>
      <c r="K14" s="26"/>
      <c r="L14" s="38">
        <v>0.03</v>
      </c>
      <c r="M14" s="26"/>
      <c r="N14" s="28" t="s">
        <v>42</v>
      </c>
      <c r="P14" s="37">
        <v>0.09</v>
      </c>
      <c r="Q14" s="26"/>
    </row>
    <row r="15" spans="1:17" s="25" customFormat="1" x14ac:dyDescent="0.2">
      <c r="B15" s="28" t="s">
        <v>30</v>
      </c>
      <c r="C15" s="26"/>
      <c r="D15" s="29">
        <v>2</v>
      </c>
      <c r="E15" s="26"/>
      <c r="F15" s="28"/>
      <c r="H15" s="38"/>
      <c r="I15" s="26"/>
      <c r="J15" s="26"/>
      <c r="K15" s="26"/>
      <c r="L15" s="26"/>
      <c r="M15" s="26"/>
      <c r="N15" s="28" t="s">
        <v>30</v>
      </c>
      <c r="O15" s="26"/>
      <c r="P15" s="37">
        <v>7.0000000000000007E-2</v>
      </c>
      <c r="Q15" s="26"/>
    </row>
    <row r="16" spans="1:17" s="25" customFormat="1" x14ac:dyDescent="0.2">
      <c r="B16" s="28" t="s">
        <v>31</v>
      </c>
      <c r="C16" s="26"/>
      <c r="D16" s="29">
        <v>2</v>
      </c>
      <c r="E16" s="26"/>
      <c r="F16" s="28" t="s">
        <v>30</v>
      </c>
      <c r="G16" s="26"/>
      <c r="H16" s="37">
        <v>0.09</v>
      </c>
      <c r="I16" s="26"/>
      <c r="J16" s="26"/>
      <c r="K16" s="26"/>
      <c r="L16" s="26"/>
      <c r="M16" s="26"/>
      <c r="N16" s="28" t="s">
        <v>31</v>
      </c>
      <c r="O16" s="26"/>
      <c r="P16" s="38">
        <v>3.5000000000000003E-2</v>
      </c>
      <c r="Q16" s="26"/>
    </row>
    <row r="17" spans="1:17" s="25" customFormat="1" x14ac:dyDescent="0.2">
      <c r="E17" s="26"/>
      <c r="F17" s="28" t="s">
        <v>31</v>
      </c>
      <c r="G17" s="26"/>
      <c r="H17" s="38">
        <v>2.5000000000000001E-2</v>
      </c>
      <c r="I17" s="26"/>
      <c r="J17" s="26"/>
      <c r="K17" s="26"/>
      <c r="L17" s="26"/>
      <c r="M17" s="26"/>
      <c r="Q17" s="26"/>
    </row>
    <row r="18" spans="1:17" s="25" customFormat="1" x14ac:dyDescent="0.2">
      <c r="E18" s="26"/>
      <c r="F18" s="28"/>
      <c r="G18" s="26"/>
      <c r="H18" s="39"/>
      <c r="I18" s="26"/>
      <c r="J18" s="26"/>
      <c r="K18" s="26"/>
      <c r="L18" s="26"/>
      <c r="M18" s="26"/>
      <c r="N18" s="28"/>
      <c r="O18" s="26"/>
      <c r="P18" s="36"/>
      <c r="Q18" s="26"/>
    </row>
    <row r="19" spans="1:17" s="25" customFormat="1" x14ac:dyDescent="0.2">
      <c r="B19" s="27" t="s">
        <v>34</v>
      </c>
      <c r="C19" s="26"/>
      <c r="D19" s="26"/>
      <c r="E19" s="26"/>
      <c r="F19" s="28"/>
      <c r="G19" s="26"/>
      <c r="H19" s="39"/>
      <c r="I19" s="26"/>
      <c r="J19" s="26"/>
      <c r="K19" s="26"/>
      <c r="L19" s="26"/>
      <c r="M19" s="26"/>
      <c r="N19" s="28"/>
      <c r="O19" s="26"/>
      <c r="P19" s="36"/>
      <c r="Q19" s="26"/>
    </row>
    <row r="20" spans="1:17" s="25" customFormat="1" x14ac:dyDescent="0.2">
      <c r="B20" s="28" t="s">
        <v>30</v>
      </c>
      <c r="C20" s="26"/>
      <c r="D20" s="37">
        <f>CHOOSE(D15,H16,L13,P15)</f>
        <v>0.08</v>
      </c>
      <c r="E20" s="26"/>
      <c r="F20" s="28"/>
      <c r="G20" s="26"/>
      <c r="H20" s="39"/>
      <c r="I20" s="26"/>
      <c r="J20" s="26"/>
      <c r="K20" s="26"/>
      <c r="L20" s="26"/>
      <c r="M20" s="26"/>
      <c r="N20" s="28"/>
      <c r="O20" s="26"/>
      <c r="P20" s="36"/>
      <c r="Q20" s="26"/>
    </row>
    <row r="21" spans="1:17" s="25" customFormat="1" x14ac:dyDescent="0.2">
      <c r="B21" s="28" t="s">
        <v>31</v>
      </c>
      <c r="C21" s="26"/>
      <c r="D21" s="37">
        <f>CHOOSE(D16,H17,L14,P16)</f>
        <v>0.03</v>
      </c>
      <c r="E21" s="26"/>
      <c r="F21" s="28"/>
      <c r="G21" s="26"/>
      <c r="H21" s="39"/>
      <c r="I21" s="26"/>
      <c r="J21" s="26"/>
      <c r="K21" s="26"/>
      <c r="L21" s="26"/>
      <c r="M21" s="26"/>
      <c r="N21" s="28"/>
      <c r="O21" s="26"/>
      <c r="P21" s="36"/>
      <c r="Q21" s="26"/>
    </row>
    <row r="22" spans="1:17" x14ac:dyDescent="0.2">
      <c r="H22" s="25"/>
      <c r="P22" s="25"/>
    </row>
    <row r="23" spans="1:17" x14ac:dyDescent="0.2">
      <c r="A23" t="s">
        <v>6</v>
      </c>
      <c r="B23" s="8" t="s">
        <v>7</v>
      </c>
      <c r="C23" s="8"/>
      <c r="D23" s="8"/>
      <c r="E23" s="18">
        <v>2015</v>
      </c>
      <c r="F23" s="18">
        <v>2016</v>
      </c>
      <c r="G23" s="18">
        <v>2017</v>
      </c>
      <c r="H23" s="18">
        <v>2018</v>
      </c>
      <c r="I23" s="9">
        <v>2019</v>
      </c>
      <c r="J23" s="9">
        <v>2020</v>
      </c>
      <c r="K23" s="9">
        <v>2021</v>
      </c>
      <c r="L23" s="9">
        <v>2022</v>
      </c>
      <c r="M23" s="9">
        <v>2023</v>
      </c>
      <c r="N23" s="9">
        <v>2024</v>
      </c>
      <c r="O23" s="9">
        <v>2025</v>
      </c>
      <c r="P23" s="9">
        <v>2026</v>
      </c>
      <c r="Q23" s="9">
        <v>2027</v>
      </c>
    </row>
    <row r="24" spans="1:17" x14ac:dyDescent="0.2">
      <c r="B24" s="6" t="s">
        <v>8</v>
      </c>
      <c r="C24" s="6"/>
      <c r="D24" s="6"/>
      <c r="E24" s="23">
        <v>74989000</v>
      </c>
      <c r="F24" s="23">
        <v>90272000</v>
      </c>
      <c r="G24" s="23">
        <v>110855000</v>
      </c>
      <c r="H24" s="23">
        <v>136819000</v>
      </c>
      <c r="I24" s="23">
        <v>161857000</v>
      </c>
      <c r="J24" s="23">
        <v>182527000</v>
      </c>
      <c r="K24" s="23">
        <v>257637000</v>
      </c>
      <c r="L24" s="24">
        <v>299022000</v>
      </c>
      <c r="M24" s="24">
        <v>344842000</v>
      </c>
      <c r="N24" s="24">
        <v>394368000</v>
      </c>
      <c r="O24" s="24">
        <v>438634000</v>
      </c>
      <c r="P24" s="24">
        <v>506357000</v>
      </c>
      <c r="Q24" s="24">
        <v>560626000</v>
      </c>
    </row>
    <row r="25" spans="1:17" x14ac:dyDescent="0.2">
      <c r="B25" s="12" t="s">
        <v>11</v>
      </c>
      <c r="C25" s="12"/>
      <c r="D25" s="12"/>
      <c r="E25" s="14"/>
      <c r="F25" s="21">
        <f>(F24-E24)/E24</f>
        <v>0.20380322447292271</v>
      </c>
      <c r="G25" s="21">
        <f t="shared" ref="G25:Q25" si="0">(G24-F24)/F24</f>
        <v>0.22801090038993266</v>
      </c>
      <c r="H25" s="21">
        <f t="shared" si="0"/>
        <v>0.23421586757475982</v>
      </c>
      <c r="I25" s="21">
        <f t="shared" si="0"/>
        <v>0.18300089899794619</v>
      </c>
      <c r="J25" s="21">
        <f t="shared" si="0"/>
        <v>0.12770532012826136</v>
      </c>
      <c r="K25" s="21">
        <f t="shared" si="0"/>
        <v>0.41150076427049148</v>
      </c>
      <c r="L25" s="21">
        <f t="shared" si="0"/>
        <v>0.16063298361648365</v>
      </c>
      <c r="M25" s="21">
        <f t="shared" si="0"/>
        <v>0.15323287249767575</v>
      </c>
      <c r="N25" s="21">
        <f t="shared" si="0"/>
        <v>0.14361939670921756</v>
      </c>
      <c r="O25" s="21">
        <f t="shared" si="0"/>
        <v>0.11224541544952937</v>
      </c>
      <c r="P25" s="21">
        <f t="shared" si="0"/>
        <v>0.15439523611940706</v>
      </c>
      <c r="Q25" s="21">
        <f t="shared" si="0"/>
        <v>0.10717537231636967</v>
      </c>
    </row>
    <row r="27" spans="1:17" x14ac:dyDescent="0.2">
      <c r="B27" s="6" t="s">
        <v>9</v>
      </c>
      <c r="C27" s="6"/>
      <c r="D27" s="6"/>
      <c r="E27" s="23">
        <v>19360000</v>
      </c>
      <c r="F27" s="23">
        <v>23716000</v>
      </c>
      <c r="G27" s="23">
        <v>26146000</v>
      </c>
      <c r="H27" s="23">
        <v>26953000</v>
      </c>
      <c r="I27" s="23">
        <v>34231000</v>
      </c>
      <c r="J27" s="23">
        <v>41224000</v>
      </c>
      <c r="K27" s="23">
        <v>78714000</v>
      </c>
      <c r="L27" s="24">
        <v>86708000</v>
      </c>
      <c r="M27" s="24">
        <v>100865000</v>
      </c>
      <c r="N27" s="24">
        <v>118461000</v>
      </c>
      <c r="O27" s="24">
        <v>136283000</v>
      </c>
      <c r="P27" s="24">
        <v>153461000</v>
      </c>
      <c r="Q27" s="24">
        <v>173210000</v>
      </c>
    </row>
    <row r="28" spans="1:17" x14ac:dyDescent="0.2">
      <c r="B28" s="12" t="s">
        <v>10</v>
      </c>
      <c r="C28" s="12"/>
      <c r="D28" s="12"/>
      <c r="E28" s="22">
        <f>E27/E24</f>
        <v>0.25817119844243824</v>
      </c>
      <c r="F28" s="22">
        <f t="shared" ref="F28:K28" si="1">F27/F24</f>
        <v>0.26271712158808935</v>
      </c>
      <c r="G28" s="22">
        <f t="shared" si="1"/>
        <v>0.23585765188760091</v>
      </c>
      <c r="H28" s="22">
        <f t="shared" si="1"/>
        <v>0.19699749303824762</v>
      </c>
      <c r="I28" s="22">
        <f t="shared" si="1"/>
        <v>0.21148915400631421</v>
      </c>
      <c r="J28" s="22">
        <f t="shared" si="1"/>
        <v>0.22585151785763202</v>
      </c>
      <c r="K28" s="22">
        <f t="shared" si="1"/>
        <v>0.3055228868524319</v>
      </c>
      <c r="L28" s="22">
        <f t="shared" ref="L28" si="2">L27/L24</f>
        <v>0.28997197530616475</v>
      </c>
      <c r="M28" s="22">
        <f t="shared" ref="M28" si="3">M27/M24</f>
        <v>0.2924962736557612</v>
      </c>
      <c r="N28" s="22">
        <f t="shared" ref="N28" si="4">N27/N24</f>
        <v>0.30038187682570594</v>
      </c>
      <c r="O28" s="22">
        <f t="shared" ref="O28" si="5">O27/O24</f>
        <v>0.31069866904982285</v>
      </c>
      <c r="P28" s="22">
        <f t="shared" ref="P28" si="6">P27/P24</f>
        <v>0.30306878348674948</v>
      </c>
      <c r="Q28" s="22">
        <f t="shared" ref="Q28" si="7">Q27/Q24</f>
        <v>0.30895820029752458</v>
      </c>
    </row>
    <row r="30" spans="1:17" x14ac:dyDescent="0.2">
      <c r="B30" s="6" t="s">
        <v>14</v>
      </c>
      <c r="C30" s="6"/>
      <c r="D30" s="6"/>
      <c r="E30" s="23">
        <v>3232000</v>
      </c>
      <c r="F30" s="23">
        <v>4672000</v>
      </c>
      <c r="G30" s="23">
        <v>14531000</v>
      </c>
      <c r="H30" s="23">
        <v>4177000</v>
      </c>
      <c r="I30" s="23">
        <v>5282000</v>
      </c>
      <c r="J30" s="23">
        <v>7813000</v>
      </c>
      <c r="K30" s="23">
        <v>14701000</v>
      </c>
      <c r="L30" s="20"/>
      <c r="M30" s="20"/>
      <c r="N30" s="20"/>
      <c r="O30" s="20"/>
      <c r="P30" s="20"/>
      <c r="Q30" s="20"/>
    </row>
    <row r="31" spans="1:17" x14ac:dyDescent="0.2">
      <c r="B31" s="12" t="s">
        <v>12</v>
      </c>
      <c r="C31" s="12"/>
      <c r="D31" s="12"/>
      <c r="E31" s="21">
        <f>E30/E27</f>
        <v>0.16694214876033059</v>
      </c>
      <c r="F31" s="21">
        <f t="shared" ref="F31:K31" si="8">F30/F27</f>
        <v>0.19699780738741779</v>
      </c>
      <c r="G31" s="21">
        <f t="shared" si="8"/>
        <v>0.55576378795991743</v>
      </c>
      <c r="H31" s="21">
        <f t="shared" si="8"/>
        <v>0.1549734723407413</v>
      </c>
      <c r="I31" s="21">
        <f t="shared" si="8"/>
        <v>0.15430457772194794</v>
      </c>
      <c r="J31" s="21">
        <f t="shared" si="8"/>
        <v>0.18952551911507859</v>
      </c>
      <c r="K31" s="21">
        <f t="shared" si="8"/>
        <v>0.18676474324770689</v>
      </c>
      <c r="L31" s="10"/>
      <c r="M31" s="7"/>
      <c r="N31" s="7"/>
      <c r="O31" s="7"/>
    </row>
    <row r="32" spans="1:17" x14ac:dyDescent="0.2">
      <c r="B32" s="11"/>
      <c r="C32" s="11"/>
      <c r="D32" s="11"/>
      <c r="E32" s="11"/>
      <c r="F32" s="11"/>
      <c r="G32" s="11"/>
      <c r="H32" s="11"/>
      <c r="I32" s="10"/>
      <c r="J32" s="10"/>
      <c r="K32" s="10"/>
      <c r="L32" s="10"/>
      <c r="M32" s="7"/>
      <c r="N32" s="7"/>
      <c r="O32" s="7"/>
    </row>
    <row r="33" spans="1:21" x14ac:dyDescent="0.2">
      <c r="A33" t="s">
        <v>6</v>
      </c>
      <c r="B33" s="8" t="s">
        <v>17</v>
      </c>
      <c r="C33" s="8"/>
      <c r="D33" s="8"/>
      <c r="E33" s="9">
        <v>2015</v>
      </c>
      <c r="F33" s="9">
        <v>2016</v>
      </c>
      <c r="G33" s="9">
        <v>2017</v>
      </c>
      <c r="H33" s="9">
        <v>2018</v>
      </c>
      <c r="I33" s="9">
        <v>2019</v>
      </c>
      <c r="J33" s="9">
        <v>2020</v>
      </c>
      <c r="K33" s="9">
        <v>2021</v>
      </c>
      <c r="L33" s="9">
        <v>2022</v>
      </c>
      <c r="M33" s="9">
        <v>2023</v>
      </c>
      <c r="N33" s="9">
        <v>2024</v>
      </c>
      <c r="O33" s="9">
        <v>2025</v>
      </c>
      <c r="P33" s="9">
        <v>2026</v>
      </c>
      <c r="Q33" s="9">
        <v>2027</v>
      </c>
    </row>
    <row r="34" spans="1:21" x14ac:dyDescent="0.2">
      <c r="B34" s="5" t="s">
        <v>18</v>
      </c>
      <c r="C34" s="5"/>
      <c r="D34" s="5"/>
      <c r="E34" s="20">
        <v>4979000</v>
      </c>
      <c r="F34" s="20">
        <v>5063000</v>
      </c>
      <c r="G34" s="20">
        <v>6144000</v>
      </c>
      <c r="H34" s="20">
        <v>6915000</v>
      </c>
      <c r="I34" s="20">
        <v>9035000</v>
      </c>
      <c r="J34" s="20">
        <v>11781000</v>
      </c>
      <c r="K34" s="20">
        <v>13697000</v>
      </c>
      <c r="L34" s="20">
        <v>16509000</v>
      </c>
      <c r="M34" s="20">
        <v>18793000</v>
      </c>
      <c r="N34" s="20">
        <v>22724000</v>
      </c>
      <c r="O34" s="20">
        <v>27032000</v>
      </c>
      <c r="P34" s="20">
        <v>31356000</v>
      </c>
      <c r="Q34" s="20">
        <v>36065000</v>
      </c>
    </row>
    <row r="35" spans="1:21" x14ac:dyDescent="0.2">
      <c r="B35" s="13" t="s">
        <v>15</v>
      </c>
      <c r="C35" s="13"/>
      <c r="D35" s="13"/>
      <c r="E35" s="19">
        <f>E34/E24</f>
        <v>6.6396404806038214E-2</v>
      </c>
      <c r="F35" s="19">
        <f>F34/F24</f>
        <v>5.6086051045728468E-2</v>
      </c>
      <c r="G35" s="19">
        <f>G34/G24</f>
        <v>5.5423751747778631E-2</v>
      </c>
      <c r="H35" s="19">
        <f>H34/H24</f>
        <v>5.0541225999312961E-2</v>
      </c>
      <c r="I35" s="19">
        <f>I34/I24</f>
        <v>5.582087892398846E-2</v>
      </c>
      <c r="J35" s="19">
        <f>J34/J24</f>
        <v>6.4543875700581288E-2</v>
      </c>
      <c r="K35" s="19">
        <f>K34/K24</f>
        <v>5.3163947724899761E-2</v>
      </c>
      <c r="L35" s="19">
        <f t="shared" ref="L35:Q35" si="9">L34/L24</f>
        <v>5.5209984549631802E-2</v>
      </c>
      <c r="M35" s="19">
        <f t="shared" si="9"/>
        <v>5.4497422007760074E-2</v>
      </c>
      <c r="N35" s="19">
        <f t="shared" si="9"/>
        <v>5.7621308016877634E-2</v>
      </c>
      <c r="O35" s="19">
        <f t="shared" si="9"/>
        <v>6.1627689599985408E-2</v>
      </c>
      <c r="P35" s="19">
        <f t="shared" si="9"/>
        <v>6.1924689497725914E-2</v>
      </c>
      <c r="Q35" s="19">
        <f t="shared" si="9"/>
        <v>6.4329874105018323E-2</v>
      </c>
    </row>
    <row r="36" spans="1:21" x14ac:dyDescent="0.2">
      <c r="B36" s="13" t="s">
        <v>19</v>
      </c>
      <c r="C36" s="13"/>
      <c r="D36" s="13"/>
      <c r="E36" s="19">
        <f>E34/E38</f>
        <v>0.50216843166918812</v>
      </c>
      <c r="F36" s="19">
        <f t="shared" ref="F36:K36" si="10">F34/F38</f>
        <v>0.49578926752839797</v>
      </c>
      <c r="G36" s="19">
        <f t="shared" si="10"/>
        <v>0.46601941747572817</v>
      </c>
      <c r="H36" s="19">
        <f t="shared" si="10"/>
        <v>0.2750706074227296</v>
      </c>
      <c r="I36" s="19">
        <f t="shared" si="10"/>
        <v>0.38368438933242738</v>
      </c>
      <c r="J36" s="19">
        <f t="shared" si="10"/>
        <v>0.52874646559849203</v>
      </c>
      <c r="K36" s="19">
        <f t="shared" si="10"/>
        <v>0.55588474025974022</v>
      </c>
    </row>
    <row r="38" spans="1:21" x14ac:dyDescent="0.2">
      <c r="B38" s="5" t="s">
        <v>20</v>
      </c>
      <c r="C38" s="5"/>
      <c r="D38" s="5"/>
      <c r="E38" s="20">
        <v>9915000</v>
      </c>
      <c r="F38" s="20">
        <v>10212000</v>
      </c>
      <c r="G38" s="20">
        <v>13184000</v>
      </c>
      <c r="H38" s="20">
        <v>25139000</v>
      </c>
      <c r="I38" s="20">
        <v>23548000</v>
      </c>
      <c r="J38" s="20">
        <v>22281000</v>
      </c>
      <c r="K38" s="20">
        <v>24640000</v>
      </c>
      <c r="L38" s="20">
        <v>32577000</v>
      </c>
      <c r="M38" s="20">
        <v>34624000</v>
      </c>
      <c r="N38" s="20">
        <v>36570000</v>
      </c>
      <c r="O38" s="20">
        <v>40836000</v>
      </c>
      <c r="P38" s="20">
        <v>36658000</v>
      </c>
      <c r="Q38" s="20">
        <v>35786000</v>
      </c>
    </row>
    <row r="39" spans="1:21" x14ac:dyDescent="0.2">
      <c r="B39" s="13" t="s">
        <v>15</v>
      </c>
      <c r="C39" s="13"/>
      <c r="D39" s="13"/>
      <c r="E39" s="16">
        <f>E38/E24</f>
        <v>0.13221939217751938</v>
      </c>
      <c r="F39" s="16">
        <f>F38/F24</f>
        <v>0.11312477844735909</v>
      </c>
      <c r="G39" s="16">
        <f>G38/G24</f>
        <v>0.11893013395877497</v>
      </c>
      <c r="H39" s="16">
        <f>H38/H24</f>
        <v>0.18373910056351822</v>
      </c>
      <c r="I39" s="16">
        <f>I38/I24</f>
        <v>0.14548644791389931</v>
      </c>
      <c r="J39" s="16">
        <f>J38/J24</f>
        <v>0.12206961161910293</v>
      </c>
      <c r="K39" s="16">
        <f>K38/K24</f>
        <v>9.5638437025737766E-2</v>
      </c>
      <c r="L39" s="16">
        <f t="shared" ref="L39:Q39" si="11">L38/L24</f>
        <v>0.10894516122559544</v>
      </c>
      <c r="M39" s="16">
        <f t="shared" si="11"/>
        <v>0.10040540305415234</v>
      </c>
      <c r="N39" s="16">
        <f t="shared" si="11"/>
        <v>9.2730647517039924E-2</v>
      </c>
      <c r="O39" s="16">
        <f t="shared" si="11"/>
        <v>9.3098118248927358E-2</v>
      </c>
      <c r="P39" s="16">
        <f t="shared" si="11"/>
        <v>7.2395562814377992E-2</v>
      </c>
      <c r="Q39" s="16">
        <f t="shared" si="11"/>
        <v>6.38322161298263E-2</v>
      </c>
    </row>
    <row r="41" spans="1:21" x14ac:dyDescent="0.2">
      <c r="B41" s="5" t="s">
        <v>21</v>
      </c>
      <c r="C41" s="5"/>
      <c r="D41" s="5"/>
      <c r="E41" s="24">
        <v>-409000</v>
      </c>
      <c r="F41" s="20">
        <v>3300000</v>
      </c>
      <c r="G41" s="20">
        <v>9246000</v>
      </c>
      <c r="H41" s="20">
        <v>4908000</v>
      </c>
      <c r="I41" s="20">
        <v>819000</v>
      </c>
      <c r="J41" s="20">
        <v>1827000</v>
      </c>
      <c r="K41" s="24">
        <v>-1523000</v>
      </c>
      <c r="L41" s="20"/>
      <c r="M41" s="20"/>
      <c r="N41" s="20"/>
      <c r="O41" s="20"/>
      <c r="P41" s="20"/>
      <c r="Q41" s="20"/>
    </row>
    <row r="42" spans="1:21" x14ac:dyDescent="0.2">
      <c r="B42" s="13" t="s">
        <v>15</v>
      </c>
      <c r="C42" s="13"/>
      <c r="D42" s="13"/>
      <c r="E42" s="19">
        <f>E41/E24</f>
        <v>-5.4541332728800223E-3</v>
      </c>
      <c r="F42" s="19">
        <f>F41/F24</f>
        <v>3.6556185749734134E-2</v>
      </c>
      <c r="G42" s="19">
        <f>G41/G24</f>
        <v>8.3406251409498894E-2</v>
      </c>
      <c r="H42" s="19">
        <f>H41/H24</f>
        <v>3.5872210730965727E-2</v>
      </c>
      <c r="I42" s="19">
        <f>I41/I24</f>
        <v>5.0600221182896012E-3</v>
      </c>
      <c r="J42" s="19">
        <f>J41/J24</f>
        <v>1.0009478049822766E-2</v>
      </c>
      <c r="K42" s="19">
        <f>K41/K24</f>
        <v>-5.9114180028489701E-3</v>
      </c>
    </row>
    <row r="43" spans="1:21" x14ac:dyDescent="0.2">
      <c r="B43" s="17" t="s">
        <v>16</v>
      </c>
      <c r="C43" s="17"/>
      <c r="D43" s="17"/>
      <c r="E43" s="19"/>
      <c r="F43" s="19">
        <f>F41/(F24-E24)</f>
        <v>0.21592619250147221</v>
      </c>
      <c r="G43" s="19">
        <f>G41/(G24-F24)</f>
        <v>0.44920565515231015</v>
      </c>
      <c r="H43" s="19">
        <f>H41/(H24-G24)</f>
        <v>0.18903096595285782</v>
      </c>
      <c r="I43" s="19">
        <f>I41/(I24-H24)</f>
        <v>3.2710280373831772E-2</v>
      </c>
      <c r="J43" s="19">
        <f>J41/(J24-I24)</f>
        <v>8.8388969521044997E-2</v>
      </c>
      <c r="K43" s="19">
        <f>K41/(K24-J24)</f>
        <v>-2.0276927173478898E-2</v>
      </c>
    </row>
    <row r="44" spans="1:21" x14ac:dyDescent="0.2">
      <c r="L44">
        <v>1</v>
      </c>
      <c r="M44">
        <v>2</v>
      </c>
      <c r="N44">
        <v>3</v>
      </c>
      <c r="O44">
        <v>4</v>
      </c>
      <c r="P44">
        <v>5</v>
      </c>
      <c r="Q44">
        <v>6</v>
      </c>
      <c r="R44">
        <v>7</v>
      </c>
      <c r="S44">
        <v>8</v>
      </c>
      <c r="T44">
        <v>9</v>
      </c>
      <c r="U44">
        <v>10</v>
      </c>
    </row>
    <row r="45" spans="1:21" x14ac:dyDescent="0.2">
      <c r="A45" t="s">
        <v>6</v>
      </c>
      <c r="B45" s="8" t="s">
        <v>22</v>
      </c>
      <c r="C45" s="8"/>
      <c r="D45" s="8"/>
      <c r="E45" s="9">
        <v>2015</v>
      </c>
      <c r="F45" s="9">
        <v>2016</v>
      </c>
      <c r="G45" s="9">
        <v>2017</v>
      </c>
      <c r="H45" s="9">
        <v>2018</v>
      </c>
      <c r="I45" s="9">
        <v>2019</v>
      </c>
      <c r="J45" s="9">
        <v>2020</v>
      </c>
      <c r="K45" s="9">
        <v>2021</v>
      </c>
      <c r="L45" s="9">
        <v>2022</v>
      </c>
      <c r="M45" s="9">
        <v>2023</v>
      </c>
      <c r="N45" s="9">
        <v>2024</v>
      </c>
      <c r="O45" s="9">
        <v>2025</v>
      </c>
      <c r="P45" s="9">
        <v>2026</v>
      </c>
      <c r="Q45" s="9">
        <v>2027</v>
      </c>
      <c r="R45" s="9">
        <v>2028</v>
      </c>
      <c r="S45" s="9">
        <v>2029</v>
      </c>
      <c r="T45" s="9">
        <v>2030</v>
      </c>
      <c r="U45" s="9">
        <v>2031</v>
      </c>
    </row>
    <row r="46" spans="1:21" x14ac:dyDescent="0.2">
      <c r="B46" s="5" t="s">
        <v>8</v>
      </c>
      <c r="C46" s="5"/>
      <c r="D46" s="5"/>
      <c r="E46" s="23">
        <v>74989000</v>
      </c>
      <c r="F46" s="23">
        <v>90272000</v>
      </c>
      <c r="G46" s="23">
        <v>110855000</v>
      </c>
      <c r="H46" s="23">
        <v>136819000</v>
      </c>
      <c r="I46" s="23">
        <v>161857000</v>
      </c>
      <c r="J46" s="23">
        <v>182527000</v>
      </c>
      <c r="K46" s="23">
        <v>257637000</v>
      </c>
      <c r="L46" s="20">
        <f ca="1">K46*(1+L47)</f>
        <v>299022000</v>
      </c>
      <c r="M46" s="20">
        <f t="shared" ref="M46:S46" ca="1" si="12">L46*(1+M47)</f>
        <v>344842000</v>
      </c>
      <c r="N46" s="20">
        <f t="shared" ca="1" si="12"/>
        <v>394368000</v>
      </c>
      <c r="O46" s="20">
        <f t="shared" ca="1" si="12"/>
        <v>445732537.92121774</v>
      </c>
      <c r="P46" s="20">
        <f t="shared" ca="1" si="12"/>
        <v>497825744.31288779</v>
      </c>
      <c r="Q46" s="20">
        <f t="shared" ca="1" si="12"/>
        <v>549349114.87075496</v>
      </c>
      <c r="R46" s="20">
        <f t="shared" ca="1" si="12"/>
        <v>598857884.6358397</v>
      </c>
      <c r="S46" s="20">
        <f t="shared" ca="1" si="12"/>
        <v>644819268.5459646</v>
      </c>
      <c r="T46" s="20">
        <f t="shared" ref="T46" ca="1" si="13">S46*(1+T47)</f>
        <v>685684173.53151309</v>
      </c>
      <c r="U46" s="20">
        <f t="shared" ref="U46" ca="1" si="14">T46*(1+U47)</f>
        <v>719968382.20808876</v>
      </c>
    </row>
    <row r="47" spans="1:21" x14ac:dyDescent="0.2">
      <c r="B47" s="5" t="s">
        <v>23</v>
      </c>
      <c r="C47" s="5"/>
      <c r="D47" s="5"/>
      <c r="E47" s="14"/>
      <c r="F47" s="30">
        <f>(F46-E46)/E46</f>
        <v>0.20380322447292271</v>
      </c>
      <c r="G47" s="30">
        <f t="shared" ref="G47" si="15">(G46-F46)/F46</f>
        <v>0.22801090038993266</v>
      </c>
      <c r="H47" s="30">
        <f t="shared" ref="H47" si="16">(H46-G46)/G46</f>
        <v>0.23421586757475982</v>
      </c>
      <c r="I47" s="30">
        <f t="shared" ref="I47" si="17">(I46-H46)/H46</f>
        <v>0.18300089899794619</v>
      </c>
      <c r="J47" s="30">
        <f t="shared" ref="J47" si="18">(J46-I46)/I46</f>
        <v>0.12770532012826136</v>
      </c>
      <c r="K47" s="30">
        <f t="shared" ref="K47" si="19">(K46-J46)/J46</f>
        <v>0.41150076427049148</v>
      </c>
      <c r="L47" s="32">
        <f ca="1">OFFSET(L$47,$D$9,0)</f>
        <v>0.16063298361648365</v>
      </c>
      <c r="M47" s="32">
        <f ca="1">OFFSET(M$47,$D$9,0)</f>
        <v>0.15323287249767575</v>
      </c>
      <c r="N47" s="32">
        <f ca="1">OFFSET(N$47,$D$9,0)</f>
        <v>0.14361939670921756</v>
      </c>
      <c r="O47" s="32">
        <f ca="1">OFFSET(O$47,$D$9,0)</f>
        <v>0.13024519717932934</v>
      </c>
      <c r="P47" s="32">
        <f ca="1">OFFSET(P$47,$D$9,0)</f>
        <v>0.11687099764944112</v>
      </c>
      <c r="Q47" s="32">
        <f ca="1">OFFSET(Q$47,$D$9,0)</f>
        <v>0.1034967981195529</v>
      </c>
      <c r="R47" s="32">
        <f ca="1">OFFSET(R$47,$D$9,0)</f>
        <v>9.0122598589664676E-2</v>
      </c>
      <c r="S47" s="32">
        <f ca="1">OFFSET(S$47,$D$9,0)</f>
        <v>7.6748399059776456E-2</v>
      </c>
      <c r="T47" s="32">
        <f ca="1">OFFSET(T$47,$D$9,0)</f>
        <v>6.3374199529888237E-2</v>
      </c>
      <c r="U47" s="32">
        <f ca="1">OFFSET(U$47,$D$9,0)</f>
        <v>0.05</v>
      </c>
    </row>
    <row r="48" spans="1:21" x14ac:dyDescent="0.2">
      <c r="B48" s="5" t="s">
        <v>24</v>
      </c>
      <c r="C48" s="5"/>
      <c r="D48" s="5"/>
      <c r="L48" s="31">
        <f>H9</f>
        <v>0.15063298361648364</v>
      </c>
      <c r="M48" s="31">
        <f>L48-(L49-M49)</f>
        <v>0.14323287249767575</v>
      </c>
      <c r="N48" s="31">
        <f>M48-(M49-N49)</f>
        <v>0.13361939670921755</v>
      </c>
      <c r="O48" s="31">
        <f>N48-(($N$48-$U$48)/($U$45-$N$45))</f>
        <v>0.1188166257507579</v>
      </c>
      <c r="P48" s="31">
        <f t="shared" ref="P48:T48" si="20">O48-(($N$48-$U$48)/($U$45-$N$45))</f>
        <v>0.10401385479229824</v>
      </c>
      <c r="Q48" s="31">
        <f t="shared" si="20"/>
        <v>8.9211083833838592E-2</v>
      </c>
      <c r="R48" s="31">
        <f t="shared" si="20"/>
        <v>7.440831287537894E-2</v>
      </c>
      <c r="S48" s="31">
        <f t="shared" si="20"/>
        <v>5.9605541916919288E-2</v>
      </c>
      <c r="T48" s="31">
        <f t="shared" si="20"/>
        <v>4.4802770958459637E-2</v>
      </c>
      <c r="U48" s="31">
        <f>H10</f>
        <v>0.03</v>
      </c>
    </row>
    <row r="49" spans="2:21" x14ac:dyDescent="0.2">
      <c r="B49" s="5" t="s">
        <v>25</v>
      </c>
      <c r="C49" s="5"/>
      <c r="D49" s="5"/>
      <c r="L49" s="31">
        <f>L25</f>
        <v>0.16063298361648365</v>
      </c>
      <c r="M49" s="31">
        <f t="shared" ref="M49:N49" si="21">M25</f>
        <v>0.15323287249767575</v>
      </c>
      <c r="N49" s="31">
        <f t="shared" si="21"/>
        <v>0.14361939670921756</v>
      </c>
      <c r="O49" s="31">
        <f>N49-(($N$49-$U$49)/($U$45-$N$45))</f>
        <v>0.13024519717932934</v>
      </c>
      <c r="P49" s="31">
        <f t="shared" ref="P49:T49" si="22">O49-(($N$49-$U$49)/($U$45-$N$45))</f>
        <v>0.11687099764944112</v>
      </c>
      <c r="Q49" s="31">
        <f t="shared" si="22"/>
        <v>0.1034967981195529</v>
      </c>
      <c r="R49" s="31">
        <f t="shared" si="22"/>
        <v>9.0122598589664676E-2</v>
      </c>
      <c r="S49" s="31">
        <f t="shared" si="22"/>
        <v>7.6748399059776456E-2</v>
      </c>
      <c r="T49" s="31">
        <f t="shared" si="22"/>
        <v>6.3374199529888237E-2</v>
      </c>
      <c r="U49" s="31">
        <v>0.05</v>
      </c>
    </row>
    <row r="50" spans="2:21" x14ac:dyDescent="0.2">
      <c r="B50" s="5" t="s">
        <v>26</v>
      </c>
      <c r="C50" s="5"/>
      <c r="D50" s="5"/>
      <c r="L50" s="31">
        <f>P9</f>
        <v>0.17063298361648366</v>
      </c>
      <c r="M50" s="31">
        <f>L50+(L49-M49)</f>
        <v>0.17803309473529155</v>
      </c>
      <c r="N50" s="31">
        <f>M50+(M49-N49)</f>
        <v>0.18764657052374975</v>
      </c>
      <c r="O50" s="31">
        <f>N50-(($N$50-$U$50)/($U$45-$N$45))</f>
        <v>0.17083991759178549</v>
      </c>
      <c r="P50" s="31">
        <f t="shared" ref="P50:T50" si="23">O50-(($N$50-$U$50)/($U$45-$N$45))</f>
        <v>0.15403326465982123</v>
      </c>
      <c r="Q50" s="31">
        <f t="shared" si="23"/>
        <v>0.13722661172785697</v>
      </c>
      <c r="R50" s="31">
        <f t="shared" si="23"/>
        <v>0.12041995879589272</v>
      </c>
      <c r="S50" s="31">
        <f t="shared" si="23"/>
        <v>0.10361330586392847</v>
      </c>
      <c r="T50" s="31">
        <f t="shared" si="23"/>
        <v>8.6806652931964226E-2</v>
      </c>
      <c r="U50" s="31">
        <f>P10</f>
        <v>7.0000000000000007E-2</v>
      </c>
    </row>
    <row r="52" spans="2:21" x14ac:dyDescent="0.2">
      <c r="B52" s="5" t="s">
        <v>9</v>
      </c>
      <c r="C52" s="5"/>
      <c r="D52" s="5"/>
      <c r="E52" s="23">
        <f>E27</f>
        <v>19360000</v>
      </c>
      <c r="F52" s="23">
        <f t="shared" ref="F52:K52" si="24">F27</f>
        <v>23716000</v>
      </c>
      <c r="G52" s="23">
        <f t="shared" si="24"/>
        <v>26146000</v>
      </c>
      <c r="H52" s="23">
        <f t="shared" si="24"/>
        <v>26953000</v>
      </c>
      <c r="I52" s="23">
        <f t="shared" si="24"/>
        <v>34231000</v>
      </c>
      <c r="J52" s="23">
        <f t="shared" si="24"/>
        <v>41224000</v>
      </c>
      <c r="K52" s="23">
        <f t="shared" si="24"/>
        <v>78714000</v>
      </c>
      <c r="L52" s="20">
        <f ca="1">L53*L46</f>
        <v>86708000</v>
      </c>
      <c r="M52" s="20">
        <f t="shared" ref="M52:U52" ca="1" si="25">M53*M46</f>
        <v>100865000</v>
      </c>
      <c r="N52" s="20">
        <f t="shared" ca="1" si="25"/>
        <v>118461000</v>
      </c>
      <c r="O52" s="20">
        <f t="shared" ca="1" si="25"/>
        <v>133889976.30306053</v>
      </c>
      <c r="P52" s="20">
        <f t="shared" ca="1" si="25"/>
        <v>149537831.40885925</v>
      </c>
      <c r="Q52" s="20">
        <f t="shared" ca="1" si="25"/>
        <v>165014518.15741768</v>
      </c>
      <c r="R52" s="20">
        <f t="shared" ca="1" si="25"/>
        <v>179886055.33878562</v>
      </c>
      <c r="S52" s="20">
        <f t="shared" ca="1" si="25"/>
        <v>193692022.09921575</v>
      </c>
      <c r="T52" s="20">
        <f t="shared" ca="1" si="25"/>
        <v>205967098.95507893</v>
      </c>
      <c r="U52" s="20">
        <f t="shared" ca="1" si="25"/>
        <v>216265453.9028329</v>
      </c>
    </row>
    <row r="53" spans="2:21" x14ac:dyDescent="0.2">
      <c r="B53" s="5" t="s">
        <v>37</v>
      </c>
      <c r="C53" s="5"/>
      <c r="D53" s="5"/>
      <c r="E53" s="30">
        <f>E52/E46</f>
        <v>0.25817119844243824</v>
      </c>
      <c r="F53" s="30">
        <f>F52/F46</f>
        <v>0.26271712158808935</v>
      </c>
      <c r="G53" s="30">
        <f t="shared" ref="G53:K53" si="26">G52/G46</f>
        <v>0.23585765188760091</v>
      </c>
      <c r="H53" s="30">
        <f t="shared" si="26"/>
        <v>0.19699749303824762</v>
      </c>
      <c r="I53" s="30">
        <f t="shared" si="26"/>
        <v>0.21148915400631421</v>
      </c>
      <c r="J53" s="30">
        <f t="shared" si="26"/>
        <v>0.22585151785763202</v>
      </c>
      <c r="K53" s="30">
        <f t="shared" si="26"/>
        <v>0.3055228868524319</v>
      </c>
      <c r="L53" s="32">
        <f ca="1">OFFSET(L$53,$D$10,0)</f>
        <v>0.28997197530616475</v>
      </c>
      <c r="M53" s="32">
        <f t="shared" ref="M53:U53" ca="1" si="27">OFFSET(M$53,$D$10,0)</f>
        <v>0.2924962736557612</v>
      </c>
      <c r="N53" s="32">
        <f t="shared" ca="1" si="27"/>
        <v>0.30038187682570594</v>
      </c>
      <c r="O53" s="32">
        <f t="shared" ca="1" si="27"/>
        <v>0.30038187682570594</v>
      </c>
      <c r="P53" s="32">
        <f t="shared" ca="1" si="27"/>
        <v>0.30038187682570594</v>
      </c>
      <c r="Q53" s="32">
        <f t="shared" ca="1" si="27"/>
        <v>0.30038187682570594</v>
      </c>
      <c r="R53" s="32">
        <f t="shared" ca="1" si="27"/>
        <v>0.30038187682570594</v>
      </c>
      <c r="S53" s="32">
        <f t="shared" ca="1" si="27"/>
        <v>0.30038187682570594</v>
      </c>
      <c r="T53" s="32">
        <f t="shared" ca="1" si="27"/>
        <v>0.30038187682570594</v>
      </c>
      <c r="U53" s="32">
        <f t="shared" ca="1" si="27"/>
        <v>0.30038187682570594</v>
      </c>
    </row>
    <row r="54" spans="2:21" x14ac:dyDescent="0.2">
      <c r="B54" s="5" t="s">
        <v>24</v>
      </c>
      <c r="C54" s="5"/>
      <c r="D54" s="5"/>
      <c r="L54" s="31">
        <f>H11</f>
        <v>0.27997197530616474</v>
      </c>
      <c r="M54" s="31">
        <f>L54-(M55-L55)</f>
        <v>0.2774476769565683</v>
      </c>
      <c r="N54" s="31">
        <v>0.28199999999999997</v>
      </c>
      <c r="O54" s="31">
        <f>N54-(O55-N55)</f>
        <v>0.28199999999999997</v>
      </c>
      <c r="P54" s="31">
        <f t="shared" ref="P54:U54" si="28">O54-(P55-O55)</f>
        <v>0.28199999999999997</v>
      </c>
      <c r="Q54" s="31">
        <f t="shared" si="28"/>
        <v>0.28199999999999997</v>
      </c>
      <c r="R54" s="31">
        <f t="shared" si="28"/>
        <v>0.28199999999999997</v>
      </c>
      <c r="S54" s="31">
        <f t="shared" si="28"/>
        <v>0.28199999999999997</v>
      </c>
      <c r="T54" s="31">
        <f t="shared" si="28"/>
        <v>0.28199999999999997</v>
      </c>
      <c r="U54" s="31">
        <f t="shared" si="28"/>
        <v>0.28199999999999997</v>
      </c>
    </row>
    <row r="55" spans="2:21" x14ac:dyDescent="0.2">
      <c r="B55" s="5" t="s">
        <v>25</v>
      </c>
      <c r="C55" s="5"/>
      <c r="D55" s="5"/>
      <c r="L55" s="31">
        <f>L28</f>
        <v>0.28997197530616475</v>
      </c>
      <c r="M55" s="31">
        <f t="shared" ref="M55:N55" si="29">M28</f>
        <v>0.2924962736557612</v>
      </c>
      <c r="N55" s="31">
        <f t="shared" si="29"/>
        <v>0.30038187682570594</v>
      </c>
      <c r="O55" s="31">
        <f>N55</f>
        <v>0.30038187682570594</v>
      </c>
      <c r="P55" s="31">
        <f t="shared" ref="P55:U55" si="30">O55</f>
        <v>0.30038187682570594</v>
      </c>
      <c r="Q55" s="31">
        <f t="shared" si="30"/>
        <v>0.30038187682570594</v>
      </c>
      <c r="R55" s="31">
        <f t="shared" si="30"/>
        <v>0.30038187682570594</v>
      </c>
      <c r="S55" s="31">
        <f t="shared" si="30"/>
        <v>0.30038187682570594</v>
      </c>
      <c r="T55" s="31">
        <f t="shared" si="30"/>
        <v>0.30038187682570594</v>
      </c>
      <c r="U55" s="31">
        <f t="shared" si="30"/>
        <v>0.30038187682570594</v>
      </c>
    </row>
    <row r="56" spans="2:21" x14ac:dyDescent="0.2">
      <c r="B56" s="5" t="s">
        <v>26</v>
      </c>
      <c r="C56" s="5"/>
      <c r="D56" s="5"/>
      <c r="L56" s="31">
        <f>P11</f>
        <v>0.29997197530616476</v>
      </c>
      <c r="M56" s="31">
        <f>L56+(M55-L55)</f>
        <v>0.30249627365576121</v>
      </c>
      <c r="N56" s="31">
        <v>0.31</v>
      </c>
      <c r="O56" s="31">
        <v>0.31</v>
      </c>
      <c r="P56" s="31">
        <v>0.31</v>
      </c>
      <c r="Q56" s="31">
        <v>0.31</v>
      </c>
      <c r="R56" s="31">
        <v>0.31</v>
      </c>
      <c r="S56" s="31">
        <v>0.31</v>
      </c>
      <c r="T56" s="31">
        <v>0.31</v>
      </c>
      <c r="U56" s="31">
        <v>0.31</v>
      </c>
    </row>
    <row r="58" spans="2:21" x14ac:dyDescent="0.2">
      <c r="B58" s="5" t="s">
        <v>14</v>
      </c>
      <c r="C58" s="5"/>
      <c r="D58" s="5"/>
      <c r="E58" s="23">
        <f>E30</f>
        <v>3232000</v>
      </c>
      <c r="F58" s="23">
        <f t="shared" ref="F58:K58" si="31">F30</f>
        <v>4672000</v>
      </c>
      <c r="G58" s="23">
        <f t="shared" si="31"/>
        <v>14531000</v>
      </c>
      <c r="H58" s="23">
        <f t="shared" si="31"/>
        <v>4177000</v>
      </c>
      <c r="I58" s="23">
        <f t="shared" si="31"/>
        <v>5282000</v>
      </c>
      <c r="J58" s="23">
        <f t="shared" si="31"/>
        <v>7813000</v>
      </c>
      <c r="K58" s="23">
        <f t="shared" si="31"/>
        <v>14701000</v>
      </c>
      <c r="L58" s="20">
        <f ca="1">L52*L59</f>
        <v>15335605.798022356</v>
      </c>
      <c r="M58" s="20">
        <f t="shared" ref="M58:U58" ca="1" si="32">M52*M59</f>
        <v>17839482.848382212</v>
      </c>
      <c r="N58" s="20">
        <f t="shared" ca="1" si="32"/>
        <v>20951598.450425871</v>
      </c>
      <c r="O58" s="20">
        <f t="shared" ca="1" si="32"/>
        <v>23680443.521823719</v>
      </c>
      <c r="P58" s="20">
        <f t="shared" ca="1" si="32"/>
        <v>26448000.581000503</v>
      </c>
      <c r="Q58" s="20">
        <f t="shared" ca="1" si="32"/>
        <v>29185283.957798127</v>
      </c>
      <c r="R58" s="20">
        <f t="shared" ca="1" si="32"/>
        <v>31815537.588652156</v>
      </c>
      <c r="S58" s="20">
        <f t="shared" ca="1" si="32"/>
        <v>34257329.163807347</v>
      </c>
      <c r="T58" s="20">
        <f t="shared" ca="1" si="32"/>
        <v>36428359.977595523</v>
      </c>
      <c r="U58" s="20">
        <f t="shared" ca="1" si="32"/>
        <v>38249777.976475306</v>
      </c>
    </row>
    <row r="59" spans="2:21" x14ac:dyDescent="0.2">
      <c r="B59" s="5" t="s">
        <v>12</v>
      </c>
      <c r="C59" s="5"/>
      <c r="D59" s="5"/>
      <c r="E59" s="30">
        <f>E58/E52</f>
        <v>0.16694214876033059</v>
      </c>
      <c r="F59" s="30">
        <f>F58/F52</f>
        <v>0.19699780738741779</v>
      </c>
      <c r="G59" s="30">
        <f t="shared" ref="G59" si="33">G58/G52</f>
        <v>0.55576378795991743</v>
      </c>
      <c r="H59" s="30">
        <f t="shared" ref="H59" si="34">H58/H52</f>
        <v>0.1549734723407413</v>
      </c>
      <c r="I59" s="30">
        <f t="shared" ref="I59" si="35">I58/I52</f>
        <v>0.15430457772194794</v>
      </c>
      <c r="J59" s="30">
        <f t="shared" ref="J59" si="36">J58/J52</f>
        <v>0.18952551911507859</v>
      </c>
      <c r="K59" s="30">
        <f t="shared" ref="K59" si="37">K58/K52</f>
        <v>0.18676474324770689</v>
      </c>
      <c r="L59" s="32">
        <f ca="1">OFFSET(L$59,$D$11,0)</f>
        <v>0.17686494669491115</v>
      </c>
      <c r="M59" s="32">
        <f t="shared" ref="M59:U59" ca="1" si="38">OFFSET(M$59,$D$11,0)</f>
        <v>0.17686494669491115</v>
      </c>
      <c r="N59" s="32">
        <f t="shared" ca="1" si="38"/>
        <v>0.17686494669491115</v>
      </c>
      <c r="O59" s="32">
        <f t="shared" ca="1" si="38"/>
        <v>0.17686494669491115</v>
      </c>
      <c r="P59" s="32">
        <f t="shared" ca="1" si="38"/>
        <v>0.17686494669491115</v>
      </c>
      <c r="Q59" s="32">
        <f t="shared" ca="1" si="38"/>
        <v>0.17686494669491115</v>
      </c>
      <c r="R59" s="32">
        <f t="shared" ca="1" si="38"/>
        <v>0.17686494669491115</v>
      </c>
      <c r="S59" s="32">
        <f t="shared" ca="1" si="38"/>
        <v>0.17686494669491115</v>
      </c>
      <c r="T59" s="32">
        <f t="shared" ca="1" si="38"/>
        <v>0.17686494669491115</v>
      </c>
      <c r="U59" s="32">
        <f t="shared" ca="1" si="38"/>
        <v>0.17686494669491115</v>
      </c>
    </row>
    <row r="60" spans="2:21" x14ac:dyDescent="0.2">
      <c r="B60" s="5" t="s">
        <v>24</v>
      </c>
      <c r="C60" s="5"/>
      <c r="D60" s="5"/>
      <c r="L60" s="31">
        <f>L61</f>
        <v>0.17686494669491115</v>
      </c>
      <c r="M60" s="31">
        <f>L60-(M61-L61)</f>
        <v>0.17686494669491115</v>
      </c>
      <c r="N60" s="31">
        <f>H12</f>
        <v>0.25</v>
      </c>
      <c r="O60" s="31">
        <f>N60</f>
        <v>0.25</v>
      </c>
      <c r="P60" s="31">
        <f t="shared" ref="P60" si="39">O60-(P61-O61)</f>
        <v>0.25</v>
      </c>
      <c r="Q60" s="31">
        <f t="shared" ref="Q60" si="40">P60-(Q61-P61)</f>
        <v>0.25</v>
      </c>
      <c r="R60" s="31">
        <f t="shared" ref="R60" si="41">Q60-(R61-Q61)</f>
        <v>0.25</v>
      </c>
      <c r="S60" s="31">
        <f t="shared" ref="S60" si="42">R60-(S61-R61)</f>
        <v>0.25</v>
      </c>
      <c r="T60" s="31">
        <f t="shared" ref="T60" si="43">S60-(T61-S61)</f>
        <v>0.25</v>
      </c>
      <c r="U60" s="31">
        <f t="shared" ref="U60" si="44">T60-(U61-T61)</f>
        <v>0.25</v>
      </c>
    </row>
    <row r="61" spans="2:21" x14ac:dyDescent="0.2">
      <c r="B61" s="5" t="s">
        <v>25</v>
      </c>
      <c r="C61" s="5"/>
      <c r="D61" s="5"/>
      <c r="L61" s="31">
        <f>AVERAGE(I59:K59)</f>
        <v>0.17686494669491115</v>
      </c>
      <c r="M61" s="31">
        <f>L61</f>
        <v>0.17686494669491115</v>
      </c>
      <c r="N61" s="31">
        <f t="shared" ref="N61:U61" si="45">M61</f>
        <v>0.17686494669491115</v>
      </c>
      <c r="O61" s="31">
        <f t="shared" si="45"/>
        <v>0.17686494669491115</v>
      </c>
      <c r="P61" s="31">
        <f t="shared" si="45"/>
        <v>0.17686494669491115</v>
      </c>
      <c r="Q61" s="31">
        <f t="shared" si="45"/>
        <v>0.17686494669491115</v>
      </c>
      <c r="R61" s="31">
        <f t="shared" si="45"/>
        <v>0.17686494669491115</v>
      </c>
      <c r="S61" s="31">
        <f t="shared" si="45"/>
        <v>0.17686494669491115</v>
      </c>
      <c r="T61" s="31">
        <f t="shared" si="45"/>
        <v>0.17686494669491115</v>
      </c>
      <c r="U61" s="31">
        <f t="shared" si="45"/>
        <v>0.17686494669491115</v>
      </c>
    </row>
    <row r="62" spans="2:21" x14ac:dyDescent="0.2">
      <c r="B62" s="5" t="s">
        <v>26</v>
      </c>
      <c r="C62" s="5"/>
      <c r="D62" s="5"/>
      <c r="L62" s="31">
        <f>L61</f>
        <v>0.17686494669491115</v>
      </c>
      <c r="M62" s="31">
        <f>L62+(M61-L61)</f>
        <v>0.17686494669491115</v>
      </c>
      <c r="N62" s="31">
        <f>P12</f>
        <v>0.17</v>
      </c>
      <c r="O62" s="31">
        <f>N62</f>
        <v>0.17</v>
      </c>
      <c r="P62" s="31">
        <f t="shared" ref="P62:U62" si="46">O62</f>
        <v>0.17</v>
      </c>
      <c r="Q62" s="31">
        <f t="shared" si="46"/>
        <v>0.17</v>
      </c>
      <c r="R62" s="31">
        <f t="shared" si="46"/>
        <v>0.17</v>
      </c>
      <c r="S62" s="31">
        <f t="shared" si="46"/>
        <v>0.17</v>
      </c>
      <c r="T62" s="31">
        <f t="shared" si="46"/>
        <v>0.17</v>
      </c>
      <c r="U62" s="31">
        <f t="shared" si="46"/>
        <v>0.17</v>
      </c>
    </row>
    <row r="64" spans="2:21" x14ac:dyDescent="0.2">
      <c r="B64" s="34" t="s">
        <v>39</v>
      </c>
      <c r="C64" s="34"/>
      <c r="D64" s="34"/>
      <c r="E64" s="33"/>
      <c r="F64" s="33"/>
      <c r="G64" s="33"/>
      <c r="H64" s="33"/>
      <c r="I64" s="33"/>
      <c r="J64" s="33"/>
      <c r="K64" s="33"/>
      <c r="L64" s="35">
        <f ca="1">L52-L58</f>
        <v>71372394.20197764</v>
      </c>
      <c r="M64" s="35">
        <f t="shared" ref="M64:U64" ca="1" si="47">M52-M58</f>
        <v>83025517.151617795</v>
      </c>
      <c r="N64" s="35">
        <f t="shared" ca="1" si="47"/>
        <v>97509401.549574137</v>
      </c>
      <c r="O64" s="35">
        <f t="shared" ca="1" si="47"/>
        <v>110209532.78123681</v>
      </c>
      <c r="P64" s="35">
        <f t="shared" ca="1" si="47"/>
        <v>123089830.82785875</v>
      </c>
      <c r="Q64" s="35">
        <f t="shared" ca="1" si="47"/>
        <v>135829234.19961956</v>
      </c>
      <c r="R64" s="35">
        <f t="shared" ca="1" si="47"/>
        <v>148070517.75013345</v>
      </c>
      <c r="S64" s="35">
        <f t="shared" ca="1" si="47"/>
        <v>159434692.93540841</v>
      </c>
      <c r="T64" s="35">
        <f t="shared" ca="1" si="47"/>
        <v>169538738.97748339</v>
      </c>
      <c r="U64" s="35">
        <f t="shared" ca="1" si="47"/>
        <v>178015675.9263576</v>
      </c>
    </row>
    <row r="66" spans="2:21" x14ac:dyDescent="0.2">
      <c r="B66" s="5" t="s">
        <v>40</v>
      </c>
      <c r="C66" s="5"/>
      <c r="D66" s="5"/>
      <c r="E66" s="23">
        <f>E34</f>
        <v>4979000</v>
      </c>
      <c r="F66" s="23">
        <f t="shared" ref="F66:K66" si="48">F34</f>
        <v>5063000</v>
      </c>
      <c r="G66" s="23">
        <f t="shared" si="48"/>
        <v>6144000</v>
      </c>
      <c r="H66" s="23">
        <f t="shared" si="48"/>
        <v>6915000</v>
      </c>
      <c r="I66" s="23">
        <f t="shared" si="48"/>
        <v>9035000</v>
      </c>
      <c r="J66" s="23">
        <f t="shared" si="48"/>
        <v>11781000</v>
      </c>
      <c r="K66" s="23">
        <f t="shared" si="48"/>
        <v>13697000</v>
      </c>
      <c r="L66" s="20">
        <f ca="1">L46*L67</f>
        <v>16724287.060938286</v>
      </c>
      <c r="M66" s="20">
        <f t="shared" ref="M66:U66" ca="1" si="49">M46*M67</f>
        <v>19286997.607761569</v>
      </c>
      <c r="N66" s="20">
        <f t="shared" ca="1" si="49"/>
        <v>22056984.568520408</v>
      </c>
      <c r="O66" s="20">
        <f t="shared" ca="1" si="49"/>
        <v>24929800.872828774</v>
      </c>
      <c r="P66" s="20">
        <f t="shared" ca="1" si="49"/>
        <v>27843371.572038181</v>
      </c>
      <c r="Q66" s="20">
        <f t="shared" ca="1" si="49"/>
        <v>30725071.378597118</v>
      </c>
      <c r="R66" s="20">
        <f t="shared" ca="1" si="49"/>
        <v>33494094.653089225</v>
      </c>
      <c r="S66" s="20">
        <f t="shared" ca="1" si="49"/>
        <v>36064712.795670435</v>
      </c>
      <c r="T66" s="20">
        <f t="shared" ca="1" si="49"/>
        <v>38350285.100371368</v>
      </c>
      <c r="U66" s="20">
        <f t="shared" ca="1" si="49"/>
        <v>40267799.355389938</v>
      </c>
    </row>
    <row r="67" spans="2:21" x14ac:dyDescent="0.2">
      <c r="B67" s="5" t="s">
        <v>13</v>
      </c>
      <c r="C67" s="5"/>
      <c r="D67" s="5"/>
      <c r="E67" s="30">
        <f>E66/E46</f>
        <v>6.6396404806038214E-2</v>
      </c>
      <c r="F67" s="30">
        <f t="shared" ref="F67:K67" si="50">F66/F46</f>
        <v>5.6086051045728468E-2</v>
      </c>
      <c r="G67" s="30">
        <f t="shared" si="50"/>
        <v>5.5423751747778631E-2</v>
      </c>
      <c r="H67" s="30">
        <f t="shared" si="50"/>
        <v>5.0541225999312961E-2</v>
      </c>
      <c r="I67" s="30">
        <f t="shared" si="50"/>
        <v>5.582087892398846E-2</v>
      </c>
      <c r="J67" s="30">
        <f t="shared" si="50"/>
        <v>6.4543875700581288E-2</v>
      </c>
      <c r="K67" s="30">
        <f t="shared" si="50"/>
        <v>5.3163947724899761E-2</v>
      </c>
      <c r="L67" s="32">
        <f ca="1">OFFSET(L$67,$D$12,0)</f>
        <v>5.5929955190381596E-2</v>
      </c>
      <c r="M67" s="32">
        <f t="shared" ref="M67:U67" ca="1" si="51">OFFSET(M$67,$D$12,0)</f>
        <v>5.5929955190381596E-2</v>
      </c>
      <c r="N67" s="32">
        <f t="shared" ca="1" si="51"/>
        <v>5.5929955190381596E-2</v>
      </c>
      <c r="O67" s="32">
        <f t="shared" ca="1" si="51"/>
        <v>5.5929955190381596E-2</v>
      </c>
      <c r="P67" s="32">
        <f t="shared" ca="1" si="51"/>
        <v>5.5929955190381596E-2</v>
      </c>
      <c r="Q67" s="32">
        <f t="shared" ca="1" si="51"/>
        <v>5.5929955190381596E-2</v>
      </c>
      <c r="R67" s="32">
        <f t="shared" ca="1" si="51"/>
        <v>5.5929955190381596E-2</v>
      </c>
      <c r="S67" s="32">
        <f t="shared" ca="1" si="51"/>
        <v>5.5929955190381596E-2</v>
      </c>
      <c r="T67" s="32">
        <f t="shared" ca="1" si="51"/>
        <v>5.5929955190381596E-2</v>
      </c>
      <c r="U67" s="32">
        <f t="shared" ca="1" si="51"/>
        <v>5.5929955190381596E-2</v>
      </c>
    </row>
    <row r="68" spans="2:21" x14ac:dyDescent="0.2">
      <c r="B68" s="5" t="s">
        <v>24</v>
      </c>
      <c r="C68" s="5"/>
      <c r="D68" s="5"/>
      <c r="L68" s="31">
        <f>H13</f>
        <v>5.0929955190381598E-2</v>
      </c>
      <c r="M68" s="31">
        <f>L68</f>
        <v>5.0929955190381598E-2</v>
      </c>
      <c r="N68" s="31">
        <f t="shared" ref="N68:U68" si="52">M68</f>
        <v>5.0929955190381598E-2</v>
      </c>
      <c r="O68" s="31">
        <f t="shared" si="52"/>
        <v>5.0929955190381598E-2</v>
      </c>
      <c r="P68" s="31">
        <f t="shared" si="52"/>
        <v>5.0929955190381598E-2</v>
      </c>
      <c r="Q68" s="31">
        <f t="shared" si="52"/>
        <v>5.0929955190381598E-2</v>
      </c>
      <c r="R68" s="31">
        <f t="shared" si="52"/>
        <v>5.0929955190381598E-2</v>
      </c>
      <c r="S68" s="31">
        <f t="shared" si="52"/>
        <v>5.0929955190381598E-2</v>
      </c>
      <c r="T68" s="31">
        <f t="shared" si="52"/>
        <v>5.0929955190381598E-2</v>
      </c>
      <c r="U68" s="31">
        <f t="shared" si="52"/>
        <v>5.0929955190381598E-2</v>
      </c>
    </row>
    <row r="69" spans="2:21" x14ac:dyDescent="0.2">
      <c r="B69" s="5" t="s">
        <v>25</v>
      </c>
      <c r="C69" s="5"/>
      <c r="D69" s="5"/>
      <c r="L69" s="31">
        <f>AVERAGE(F67:K67)</f>
        <v>5.5929955190381596E-2</v>
      </c>
      <c r="M69" s="31">
        <f>L69</f>
        <v>5.5929955190381596E-2</v>
      </c>
      <c r="N69" s="31">
        <f t="shared" ref="N69:U69" si="53">M69</f>
        <v>5.5929955190381596E-2</v>
      </c>
      <c r="O69" s="31">
        <f t="shared" si="53"/>
        <v>5.5929955190381596E-2</v>
      </c>
      <c r="P69" s="31">
        <f t="shared" si="53"/>
        <v>5.5929955190381596E-2</v>
      </c>
      <c r="Q69" s="31">
        <f t="shared" si="53"/>
        <v>5.5929955190381596E-2</v>
      </c>
      <c r="R69" s="31">
        <f t="shared" si="53"/>
        <v>5.5929955190381596E-2</v>
      </c>
      <c r="S69" s="31">
        <f t="shared" si="53"/>
        <v>5.5929955190381596E-2</v>
      </c>
      <c r="T69" s="31">
        <f t="shared" si="53"/>
        <v>5.5929955190381596E-2</v>
      </c>
      <c r="U69" s="31">
        <f t="shared" si="53"/>
        <v>5.5929955190381596E-2</v>
      </c>
    </row>
    <row r="70" spans="2:21" x14ac:dyDescent="0.2">
      <c r="B70" s="5" t="s">
        <v>26</v>
      </c>
      <c r="C70" s="5"/>
      <c r="D70" s="5"/>
      <c r="L70" s="31">
        <f>P13</f>
        <v>6.0929955190381593E-2</v>
      </c>
      <c r="M70" s="31">
        <f>L70</f>
        <v>6.0929955190381593E-2</v>
      </c>
      <c r="N70" s="31">
        <f t="shared" ref="N70:U70" si="54">M70</f>
        <v>6.0929955190381593E-2</v>
      </c>
      <c r="O70" s="31">
        <f t="shared" si="54"/>
        <v>6.0929955190381593E-2</v>
      </c>
      <c r="P70" s="31">
        <f t="shared" si="54"/>
        <v>6.0929955190381593E-2</v>
      </c>
      <c r="Q70" s="31">
        <f t="shared" si="54"/>
        <v>6.0929955190381593E-2</v>
      </c>
      <c r="R70" s="31">
        <f t="shared" si="54"/>
        <v>6.0929955190381593E-2</v>
      </c>
      <c r="S70" s="31">
        <f t="shared" si="54"/>
        <v>6.0929955190381593E-2</v>
      </c>
      <c r="T70" s="31">
        <f t="shared" si="54"/>
        <v>6.0929955190381593E-2</v>
      </c>
      <c r="U70" s="31">
        <f t="shared" si="54"/>
        <v>6.0929955190381593E-2</v>
      </c>
    </row>
    <row r="72" spans="2:21" x14ac:dyDescent="0.2">
      <c r="B72" s="5" t="s">
        <v>41</v>
      </c>
      <c r="C72" s="5"/>
      <c r="D72" s="5"/>
      <c r="E72" s="23">
        <f>E38</f>
        <v>9915000</v>
      </c>
      <c r="F72" s="23">
        <f t="shared" ref="F72:K72" si="55">F38</f>
        <v>10212000</v>
      </c>
      <c r="G72" s="23">
        <f t="shared" si="55"/>
        <v>13184000</v>
      </c>
      <c r="H72" s="23">
        <f t="shared" si="55"/>
        <v>25139000</v>
      </c>
      <c r="I72" s="23">
        <f t="shared" si="55"/>
        <v>23548000</v>
      </c>
      <c r="J72" s="23">
        <f t="shared" si="55"/>
        <v>22281000</v>
      </c>
      <c r="K72" s="23">
        <f t="shared" si="55"/>
        <v>24640000</v>
      </c>
      <c r="L72" s="20">
        <f ca="1">L52*L73</f>
        <v>9446417.0395489298</v>
      </c>
      <c r="M72" s="20">
        <f t="shared" ref="M72" ca="1" si="56">M52*M73</f>
        <v>10127390.979057075</v>
      </c>
      <c r="N72" s="20">
        <f t="shared" ref="N72" ca="1" si="57">N52*N73</f>
        <v>10984965.235516066</v>
      </c>
      <c r="O72" s="20">
        <f t="shared" ref="O72" ca="1" si="58">O52*O73</f>
        <v>11980931.933279691</v>
      </c>
      <c r="P72" s="20">
        <f t="shared" ref="P72" ca="1" si="59">P52*P73</f>
        <v>12895570.867346805</v>
      </c>
      <c r="Q72" s="20">
        <f t="shared" ref="Q72" ca="1" si="60">Q52*Q73</f>
        <v>13694380.183836635</v>
      </c>
      <c r="R72" s="20">
        <f t="shared" ref="R72" ca="1" si="61">R52*R73</f>
        <v>14344420.952487852</v>
      </c>
      <c r="S72" s="20">
        <f t="shared" ref="S72" ca="1" si="62">S52*S73</f>
        <v>14816368.713002238</v>
      </c>
      <c r="T72" s="20">
        <f t="shared" ref="T72" ca="1" si="63">T52*T73</f>
        <v>15086520.573491978</v>
      </c>
      <c r="U72" s="20">
        <f t="shared" ref="U72" ca="1" si="64">U52*U73</f>
        <v>15138581.773198305</v>
      </c>
    </row>
    <row r="73" spans="2:21" x14ac:dyDescent="0.2">
      <c r="B73" s="5" t="s">
        <v>13</v>
      </c>
      <c r="C73" s="5"/>
      <c r="D73" s="5"/>
      <c r="E73" s="30">
        <f>E72/E46</f>
        <v>0.13221939217751938</v>
      </c>
      <c r="F73" s="30">
        <f t="shared" ref="F73:K73" si="65">F72/F46</f>
        <v>0.11312477844735909</v>
      </c>
      <c r="G73" s="30">
        <f t="shared" si="65"/>
        <v>0.11893013395877497</v>
      </c>
      <c r="H73" s="30">
        <f t="shared" si="65"/>
        <v>0.18373910056351822</v>
      </c>
      <c r="I73" s="30">
        <f t="shared" si="65"/>
        <v>0.14548644791389931</v>
      </c>
      <c r="J73" s="30">
        <f t="shared" si="65"/>
        <v>0.12206961161910293</v>
      </c>
      <c r="K73" s="30">
        <f t="shared" si="65"/>
        <v>9.5638437025737766E-2</v>
      </c>
      <c r="L73" s="32">
        <f ca="1">OFFSET(L$73,$D$12,0)</f>
        <v>0.10894516122559544</v>
      </c>
      <c r="M73" s="32">
        <f t="shared" ref="M73:U73" ca="1" si="66">OFFSET(M$73,$D$12,0)</f>
        <v>0.10040540305415234</v>
      </c>
      <c r="N73" s="32">
        <f t="shared" ca="1" si="66"/>
        <v>9.2730647517039924E-2</v>
      </c>
      <c r="O73" s="32">
        <f t="shared" ca="1" si="66"/>
        <v>8.9483412157462791E-2</v>
      </c>
      <c r="P73" s="32">
        <f t="shared" ca="1" si="66"/>
        <v>8.6236176797885658E-2</v>
      </c>
      <c r="Q73" s="32">
        <f t="shared" ca="1" si="66"/>
        <v>8.2988941438308525E-2</v>
      </c>
      <c r="R73" s="32">
        <f t="shared" ca="1" si="66"/>
        <v>7.9741706078731392E-2</v>
      </c>
      <c r="S73" s="32">
        <f t="shared" ca="1" si="66"/>
        <v>7.6494470719154259E-2</v>
      </c>
      <c r="T73" s="32">
        <f t="shared" ca="1" si="66"/>
        <v>7.3247235359577126E-2</v>
      </c>
      <c r="U73" s="32">
        <f t="shared" ca="1" si="66"/>
        <v>7.0000000000000007E-2</v>
      </c>
    </row>
    <row r="74" spans="2:21" x14ac:dyDescent="0.2">
      <c r="B74" s="5" t="s">
        <v>24</v>
      </c>
      <c r="C74" s="5"/>
      <c r="D74" s="5"/>
      <c r="L74" s="31">
        <f>L75</f>
        <v>0.10894516122559544</v>
      </c>
      <c r="M74" s="31">
        <f>M75+0.5%</f>
        <v>0.10540540305415234</v>
      </c>
      <c r="N74" s="31">
        <f>N75+0.5%</f>
        <v>9.7730647517039929E-2</v>
      </c>
      <c r="O74" s="31">
        <f>N74-(($N$74-$U$74)/($U$45-$N$45))</f>
        <v>9.6626269300319936E-2</v>
      </c>
      <c r="P74" s="31">
        <f t="shared" ref="P74:T74" si="67">O74-(($N$74-$U$74)/($U$45-$N$45))</f>
        <v>9.5521891083599944E-2</v>
      </c>
      <c r="Q74" s="31">
        <f t="shared" si="67"/>
        <v>9.4417512866879952E-2</v>
      </c>
      <c r="R74" s="31">
        <f t="shared" si="67"/>
        <v>9.331313465015996E-2</v>
      </c>
      <c r="S74" s="31">
        <f t="shared" si="67"/>
        <v>9.2208756433439967E-2</v>
      </c>
      <c r="T74" s="31">
        <f t="shared" si="67"/>
        <v>9.1104378216719975E-2</v>
      </c>
      <c r="U74" s="31">
        <f>H14</f>
        <v>0.09</v>
      </c>
    </row>
    <row r="75" spans="2:21" x14ac:dyDescent="0.2">
      <c r="B75" s="5" t="s">
        <v>25</v>
      </c>
      <c r="C75" s="5"/>
      <c r="D75" s="5"/>
      <c r="L75" s="31">
        <f>L39</f>
        <v>0.10894516122559544</v>
      </c>
      <c r="M75" s="31">
        <f>M39</f>
        <v>0.10040540305415234</v>
      </c>
      <c r="N75" s="31">
        <f>N39</f>
        <v>9.2730647517039924E-2</v>
      </c>
      <c r="O75" s="31">
        <f>N75-(($N$75-$U$75)/($U$45-$N$45))</f>
        <v>8.9483412157462791E-2</v>
      </c>
      <c r="P75" s="31">
        <f t="shared" ref="P75:T75" si="68">O75-(($N$75-$U$75)/($U$45-$N$45))</f>
        <v>8.6236176797885658E-2</v>
      </c>
      <c r="Q75" s="31">
        <f t="shared" si="68"/>
        <v>8.2988941438308525E-2</v>
      </c>
      <c r="R75" s="31">
        <f t="shared" si="68"/>
        <v>7.9741706078731392E-2</v>
      </c>
      <c r="S75" s="31">
        <f t="shared" si="68"/>
        <v>7.6494470719154259E-2</v>
      </c>
      <c r="T75" s="31">
        <f t="shared" si="68"/>
        <v>7.3247235359577126E-2</v>
      </c>
      <c r="U75" s="31">
        <v>7.0000000000000007E-2</v>
      </c>
    </row>
    <row r="76" spans="2:21" x14ac:dyDescent="0.2">
      <c r="B76" s="5" t="s">
        <v>26</v>
      </c>
      <c r="C76" s="5"/>
      <c r="D76" s="5"/>
      <c r="L76" s="31">
        <f>L75</f>
        <v>0.10894516122559544</v>
      </c>
      <c r="M76" s="31">
        <f>M75-0.5%</f>
        <v>9.5405403054152335E-2</v>
      </c>
      <c r="N76" s="31">
        <f>N75-0.5%</f>
        <v>8.773064751703992E-2</v>
      </c>
      <c r="O76" s="31">
        <f>N76-(($N$76-$U$76)/($U$45-$N$45))</f>
        <v>8.2340555014605646E-2</v>
      </c>
      <c r="P76" s="31">
        <f t="shared" ref="P76:T76" si="69">O76-(($N$76-$U$76)/($U$45-$N$45))</f>
        <v>7.6950462512171372E-2</v>
      </c>
      <c r="Q76" s="31">
        <f t="shared" si="69"/>
        <v>7.1560370009737098E-2</v>
      </c>
      <c r="R76" s="31">
        <f t="shared" si="69"/>
        <v>6.6170277507302824E-2</v>
      </c>
      <c r="S76" s="31">
        <f t="shared" si="69"/>
        <v>6.078018500486855E-2</v>
      </c>
      <c r="T76" s="31">
        <f t="shared" si="69"/>
        <v>5.5390092502434277E-2</v>
      </c>
      <c r="U76" s="31">
        <v>0.05</v>
      </c>
    </row>
    <row r="78" spans="2:21" x14ac:dyDescent="0.2">
      <c r="B78" s="5" t="s">
        <v>21</v>
      </c>
      <c r="C78" s="5"/>
      <c r="D78" s="5"/>
      <c r="E78" s="23">
        <f>E41</f>
        <v>-409000</v>
      </c>
      <c r="F78" s="23">
        <f t="shared" ref="F78:K78" si="70">F41</f>
        <v>3300000</v>
      </c>
      <c r="G78" s="23">
        <f t="shared" si="70"/>
        <v>9246000</v>
      </c>
      <c r="H78" s="23">
        <f t="shared" si="70"/>
        <v>4908000</v>
      </c>
      <c r="I78" s="23">
        <f t="shared" si="70"/>
        <v>819000</v>
      </c>
      <c r="J78" s="23">
        <f t="shared" si="70"/>
        <v>1827000</v>
      </c>
      <c r="K78" s="23">
        <f t="shared" si="70"/>
        <v>-1523000</v>
      </c>
      <c r="L78" s="20">
        <f ca="1">L79*L46</f>
        <v>912822.68174046394</v>
      </c>
      <c r="M78" s="20">
        <f t="shared" ref="M78:U78" ca="1" si="71">M79*M46</f>
        <v>821960.11535437498</v>
      </c>
      <c r="N78" s="20">
        <f t="shared" ca="1" si="71"/>
        <v>-62459.904863356096</v>
      </c>
      <c r="O78" s="20">
        <f t="shared" ca="1" si="71"/>
        <v>784177.10639023443</v>
      </c>
      <c r="P78" s="20">
        <f t="shared" ca="1" si="71"/>
        <v>661196.32615268033</v>
      </c>
      <c r="Q78" s="20">
        <f t="shared" ca="1" si="71"/>
        <v>536363.98993653059</v>
      </c>
      <c r="R78" s="20">
        <f t="shared" ca="1" si="71"/>
        <v>811218.99582272943</v>
      </c>
      <c r="S78" s="20">
        <f t="shared" ca="1" si="71"/>
        <v>786494.89816397894</v>
      </c>
      <c r="T78" s="20">
        <f t="shared" ca="1" si="71"/>
        <v>811549.87061545753</v>
      </c>
      <c r="U78" s="20">
        <f t="shared" ca="1" si="71"/>
        <v>901853.058865809</v>
      </c>
    </row>
    <row r="79" spans="2:21" x14ac:dyDescent="0.2">
      <c r="B79" s="5" t="s">
        <v>13</v>
      </c>
      <c r="C79" s="5"/>
      <c r="D79" s="5"/>
      <c r="E79" s="30">
        <f>E78/E24</f>
        <v>-5.4541332728800223E-3</v>
      </c>
      <c r="F79" s="30">
        <f t="shared" ref="F79:K79" si="72">F78/F24</f>
        <v>3.6556185749734134E-2</v>
      </c>
      <c r="G79" s="30">
        <f t="shared" si="72"/>
        <v>8.3406251409498894E-2</v>
      </c>
      <c r="H79" s="30">
        <f t="shared" si="72"/>
        <v>3.5872210730965727E-2</v>
      </c>
      <c r="I79" s="30">
        <f t="shared" si="72"/>
        <v>5.0600221182896012E-3</v>
      </c>
      <c r="J79" s="30">
        <f t="shared" si="72"/>
        <v>1.0009478049822766E-2</v>
      </c>
      <c r="K79" s="30">
        <f t="shared" si="72"/>
        <v>-5.9114180028489701E-3</v>
      </c>
      <c r="L79" s="32">
        <f>AVERAGE(I79:K79)</f>
        <v>3.0526940550877992E-3</v>
      </c>
      <c r="M79" s="32">
        <f t="shared" ref="M79:S79" si="73">AVERAGE(J79:L79)</f>
        <v>2.3835847006871986E-3</v>
      </c>
      <c r="N79" s="32">
        <f t="shared" si="73"/>
        <v>-1.5837974902465743E-4</v>
      </c>
      <c r="O79" s="32">
        <f t="shared" si="73"/>
        <v>1.75929966891678E-3</v>
      </c>
      <c r="P79" s="32">
        <f t="shared" si="73"/>
        <v>1.3281682068597737E-3</v>
      </c>
      <c r="Q79" s="32">
        <f t="shared" si="73"/>
        <v>9.7636270891729871E-4</v>
      </c>
      <c r="R79" s="32">
        <f t="shared" si="73"/>
        <v>1.3546101948979509E-3</v>
      </c>
      <c r="S79" s="32">
        <f t="shared" si="73"/>
        <v>1.219713703558341E-3</v>
      </c>
      <c r="T79" s="32">
        <f>AVERAGE(Q79:S79)</f>
        <v>1.1835622024578636E-3</v>
      </c>
      <c r="U79" s="32">
        <f t="shared" ref="U79" si="74">AVERAGE(R79:T79)</f>
        <v>1.2526287003047185E-3</v>
      </c>
    </row>
    <row r="81" spans="2:21" x14ac:dyDescent="0.2">
      <c r="B81" s="34" t="s">
        <v>43</v>
      </c>
      <c r="C81" s="34"/>
      <c r="D81" s="34"/>
      <c r="E81" s="33"/>
      <c r="F81" s="33"/>
      <c r="G81" s="33"/>
      <c r="H81" s="33"/>
      <c r="I81" s="33"/>
      <c r="J81" s="33"/>
      <c r="K81" s="33"/>
      <c r="L81" s="35">
        <f ca="1">L64+L66-L72-L78</f>
        <v>77737441.541626528</v>
      </c>
      <c r="M81" s="35">
        <f t="shared" ref="M81:U81" ca="1" si="75">M64+M66-M72-M78</f>
        <v>91363163.664967909</v>
      </c>
      <c r="N81" s="35">
        <f t="shared" ca="1" si="75"/>
        <v>108643880.78744183</v>
      </c>
      <c r="O81" s="35">
        <f t="shared" ca="1" si="75"/>
        <v>122374224.61439565</v>
      </c>
      <c r="P81" s="35">
        <f t="shared" ca="1" si="75"/>
        <v>137376435.20639744</v>
      </c>
      <c r="Q81" s="35">
        <f t="shared" ca="1" si="75"/>
        <v>152323561.4044435</v>
      </c>
      <c r="R81" s="35">
        <f t="shared" ca="1" si="75"/>
        <v>166408972.4549121</v>
      </c>
      <c r="S81" s="35">
        <f t="shared" ca="1" si="75"/>
        <v>179896542.11991265</v>
      </c>
      <c r="T81" s="35">
        <f t="shared" ca="1" si="75"/>
        <v>191990953.63374731</v>
      </c>
      <c r="U81" s="35">
        <f t="shared" ca="1" si="75"/>
        <v>202243040.4496834</v>
      </c>
    </row>
    <row r="82" spans="2:21" x14ac:dyDescent="0.2">
      <c r="B82" s="5" t="s">
        <v>44</v>
      </c>
      <c r="C82" s="5"/>
      <c r="D82" s="5"/>
      <c r="L82">
        <f ca="1">L81/(1+wacc)^L44</f>
        <v>71979112.538543075</v>
      </c>
      <c r="M82">
        <f ca="1">M81/(1+wacc)^M44</f>
        <v>78329186.955562323</v>
      </c>
      <c r="N82">
        <f ca="1">N81/(1+wacc)^N44</f>
        <v>86245015.358623102</v>
      </c>
      <c r="O82">
        <f ca="1">O81/(1+wacc)^O44</f>
        <v>89948708.304399341</v>
      </c>
      <c r="P82">
        <f ca="1">P81/(1+wacc)^P44</f>
        <v>93496093.469870195</v>
      </c>
      <c r="Q82">
        <f ca="1">Q81/(1+wacc)^Q44</f>
        <v>95989681.855743825</v>
      </c>
      <c r="R82">
        <f ca="1">R81/(1+wacc)^R44</f>
        <v>97098037.112882197</v>
      </c>
      <c r="S82">
        <f ca="1">S81/(1+wacc)^S44</f>
        <v>97192504.136887908</v>
      </c>
      <c r="T82">
        <f ca="1">T81/(1+wacc)^T44</f>
        <v>96043276.253865927</v>
      </c>
      <c r="U82">
        <f ca="1">U81/(1+wacc)^U44</f>
        <v>93677659.346740738</v>
      </c>
    </row>
    <row r="83" spans="2:21" x14ac:dyDescent="0.2">
      <c r="B83" s="5" t="s">
        <v>45</v>
      </c>
      <c r="C83" s="5"/>
      <c r="D83" s="5"/>
      <c r="U83">
        <f ca="1">U81*(1+tgr)/(wacc-tgr)</f>
        <v>4166206633.2634783</v>
      </c>
    </row>
    <row r="84" spans="2:21" x14ac:dyDescent="0.2">
      <c r="B84" s="5" t="s">
        <v>46</v>
      </c>
      <c r="C84" s="5"/>
      <c r="D84" s="5"/>
      <c r="U84">
        <f ca="1">U83/(1+wacc)^U44</f>
        <v>1929759782.5428593</v>
      </c>
    </row>
    <row r="85" spans="2:21" x14ac:dyDescent="0.2">
      <c r="B85" s="5" t="s">
        <v>47</v>
      </c>
      <c r="C85" s="5"/>
      <c r="D85" s="5"/>
      <c r="U85">
        <f ca="1">SUM(L82:U82,U84)</f>
        <v>2829759057.875978</v>
      </c>
    </row>
    <row r="86" spans="2:21" x14ac:dyDescent="0.2">
      <c r="B86" s="5" t="s">
        <v>48</v>
      </c>
      <c r="C86" s="5"/>
      <c r="D86" s="5"/>
      <c r="U86">
        <v>133970</v>
      </c>
    </row>
    <row r="87" spans="2:21" x14ac:dyDescent="0.2">
      <c r="B87" s="5" t="s">
        <v>49</v>
      </c>
      <c r="C87" s="5"/>
      <c r="D87" s="5"/>
      <c r="U87">
        <v>149971</v>
      </c>
    </row>
    <row r="88" spans="2:21" x14ac:dyDescent="0.2">
      <c r="B88" s="5" t="s">
        <v>50</v>
      </c>
      <c r="C88" s="5"/>
      <c r="D88" s="5"/>
      <c r="U88">
        <f ca="1">U85+U86-U87</f>
        <v>2829743056.875978</v>
      </c>
    </row>
    <row r="89" spans="2:21" x14ac:dyDescent="0.2">
      <c r="B89" s="5" t="s">
        <v>51</v>
      </c>
      <c r="C89" s="5"/>
      <c r="D89" s="5"/>
      <c r="U89" s="40">
        <v>22093910</v>
      </c>
    </row>
    <row r="90" spans="2:21" x14ac:dyDescent="0.2">
      <c r="B90" s="5" t="s">
        <v>52</v>
      </c>
      <c r="C90" s="5"/>
      <c r="D90" s="5"/>
      <c r="U90">
        <f ca="1">U88/U89</f>
        <v>128.07796613980858</v>
      </c>
    </row>
  </sheetData>
  <mergeCells count="56">
    <mergeCell ref="B90:D90"/>
    <mergeCell ref="B84:D84"/>
    <mergeCell ref="B85:D85"/>
    <mergeCell ref="B86:D86"/>
    <mergeCell ref="B87:D87"/>
    <mergeCell ref="B88:D88"/>
    <mergeCell ref="B89:D89"/>
    <mergeCell ref="B76:D76"/>
    <mergeCell ref="B78:D78"/>
    <mergeCell ref="B79:D79"/>
    <mergeCell ref="B81:D81"/>
    <mergeCell ref="B82:D82"/>
    <mergeCell ref="B83:D83"/>
    <mergeCell ref="B69:D69"/>
    <mergeCell ref="B70:D70"/>
    <mergeCell ref="B72:D72"/>
    <mergeCell ref="B73:D73"/>
    <mergeCell ref="B74:D74"/>
    <mergeCell ref="B75:D75"/>
    <mergeCell ref="B61:D61"/>
    <mergeCell ref="B62:D62"/>
    <mergeCell ref="B64:D64"/>
    <mergeCell ref="B66:D66"/>
    <mergeCell ref="B67:D67"/>
    <mergeCell ref="B68:D68"/>
    <mergeCell ref="B54:D54"/>
    <mergeCell ref="B55:D55"/>
    <mergeCell ref="B56:D56"/>
    <mergeCell ref="B58:D58"/>
    <mergeCell ref="B59:D59"/>
    <mergeCell ref="B60:D60"/>
    <mergeCell ref="B48:D48"/>
    <mergeCell ref="B49:D49"/>
    <mergeCell ref="B50:D50"/>
    <mergeCell ref="B7:D7"/>
    <mergeCell ref="B52:D52"/>
    <mergeCell ref="B53:D53"/>
    <mergeCell ref="B41:D41"/>
    <mergeCell ref="B42:D42"/>
    <mergeCell ref="B43:D43"/>
    <mergeCell ref="B45:D45"/>
    <mergeCell ref="B46:D46"/>
    <mergeCell ref="B47:D47"/>
    <mergeCell ref="B33:D33"/>
    <mergeCell ref="B34:D34"/>
    <mergeCell ref="B35:D35"/>
    <mergeCell ref="B36:D36"/>
    <mergeCell ref="B38:D38"/>
    <mergeCell ref="B39:D39"/>
    <mergeCell ref="B30:D30"/>
    <mergeCell ref="B31:D31"/>
    <mergeCell ref="B23:D23"/>
    <mergeCell ref="B24:D24"/>
    <mergeCell ref="B25:D25"/>
    <mergeCell ref="B27:D27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tgr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2023-07-12T13:13:40Z</dcterms:created>
  <dcterms:modified xsi:type="dcterms:W3CDTF">2023-07-16T19:37:40Z</dcterms:modified>
</cp:coreProperties>
</file>